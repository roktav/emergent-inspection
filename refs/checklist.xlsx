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-LNV\Downloads\"/>
    </mc:Choice>
  </mc:AlternateContent>
  <xr:revisionPtr revIDLastSave="0" documentId="13_ncr:1_{273E9892-BB7E-4443-9442-3E9F049DC139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Sheet1" sheetId="1" state="hidden" r:id="rId1"/>
    <sheet name="Form Inspection Right to Left" sheetId="11" r:id="rId2"/>
  </sheets>
  <definedNames>
    <definedName name="_xlnm._FilterDatabase" localSheetId="0" hidden="1">Sheet1!$A$2:$I$89</definedName>
    <definedName name="_xlnm.Print_Area" localSheetId="1">'Form Inspection Right to Left'!$A$1:$Y$106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9" i="1" l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H3" i="1"/>
</calcChain>
</file>

<file path=xl/sharedStrings.xml><?xml version="1.0" encoding="utf-8"?>
<sst xmlns="http://schemas.openxmlformats.org/spreadsheetml/2006/main" count="571" uniqueCount="206">
  <si>
    <t>NO</t>
  </si>
  <si>
    <t>NAMA</t>
  </si>
  <si>
    <t>Segmentasi</t>
  </si>
  <si>
    <t>Island</t>
  </si>
  <si>
    <t>Dept</t>
  </si>
  <si>
    <t>Job Title</t>
  </si>
  <si>
    <t>Join Date</t>
  </si>
  <si>
    <t>Masa Kerja</t>
  </si>
  <si>
    <t>Frederic Andrew Bela</t>
  </si>
  <si>
    <t>G2-SERVICE</t>
  </si>
  <si>
    <t>Sulawesi</t>
  </si>
  <si>
    <t>Service</t>
  </si>
  <si>
    <t>Mechanical Engineer</t>
  </si>
  <si>
    <t>Roni Erlangga</t>
  </si>
  <si>
    <t>MSO-AFTER SALES</t>
  </si>
  <si>
    <t>IMIP</t>
  </si>
  <si>
    <t>Junior Mechanic</t>
  </si>
  <si>
    <t>Mira Astri Djafar</t>
  </si>
  <si>
    <t>IWIP</t>
  </si>
  <si>
    <t>Service Admin</t>
  </si>
  <si>
    <t>Muhamad Faisal Sofyan</t>
  </si>
  <si>
    <t>Mechanic Middle</t>
  </si>
  <si>
    <t>Nugra Saputra Makatita</t>
  </si>
  <si>
    <t>Rosiana Purnamasari</t>
  </si>
  <si>
    <t>Java</t>
  </si>
  <si>
    <t>Service Marketing</t>
  </si>
  <si>
    <t>Admin Service</t>
  </si>
  <si>
    <t>Joni Palondongan</t>
  </si>
  <si>
    <t>Helper Mechanic</t>
  </si>
  <si>
    <t>Fan Fredes Lela</t>
  </si>
  <si>
    <t>Halmahera</t>
  </si>
  <si>
    <t>Irwan Ruma</t>
  </si>
  <si>
    <t>After Sales Coordinator</t>
  </si>
  <si>
    <t>Zainal Abidin</t>
  </si>
  <si>
    <t>Am'rul Jihad</t>
  </si>
  <si>
    <t>Dionisius Surya Pratama</t>
  </si>
  <si>
    <t>Khair Ahmad Mubara</t>
  </si>
  <si>
    <t>Yeheskiel Rivan Senewe</t>
  </si>
  <si>
    <t>Rizal Ramli</t>
  </si>
  <si>
    <t>Helper Mechanic-Driver</t>
  </si>
  <si>
    <t>Muh Nofriansyah N</t>
  </si>
  <si>
    <t>Ababil Ka'bah</t>
  </si>
  <si>
    <t>Yulianto Allo Padang</t>
  </si>
  <si>
    <t>Ahmad Feri</t>
  </si>
  <si>
    <t>JUNIOR MECHANIC</t>
  </si>
  <si>
    <t>Irwan Saputra</t>
  </si>
  <si>
    <t>COORDINATOR MECHANIC</t>
  </si>
  <si>
    <t>Hidayatullah</t>
  </si>
  <si>
    <t>Budi Rizkiardi</t>
  </si>
  <si>
    <t>Geisler Papua Paken</t>
  </si>
  <si>
    <t>Asrullah</t>
  </si>
  <si>
    <t>Ikhsan Fahreza</t>
  </si>
  <si>
    <t>QC Inspector</t>
  </si>
  <si>
    <t>Rafli Ramadhan</t>
  </si>
  <si>
    <t>Anthonius Frederick Gala</t>
  </si>
  <si>
    <t>Muhammad Rahul Moni</t>
  </si>
  <si>
    <t>Yopianus Elo</t>
  </si>
  <si>
    <t>Akbar Ali</t>
  </si>
  <si>
    <t>Alfian Azis</t>
  </si>
  <si>
    <t>Dian Iswanto</t>
  </si>
  <si>
    <t>Hasan Y Rahman</t>
  </si>
  <si>
    <t>Muh Arqam</t>
  </si>
  <si>
    <t>Sukirno</t>
  </si>
  <si>
    <t>QC Coordinator</t>
  </si>
  <si>
    <t>Ahmad Albar Ribangka</t>
  </si>
  <si>
    <t>Walidin Kolopita</t>
  </si>
  <si>
    <t>Mohamad Rizki Tolinggilo</t>
  </si>
  <si>
    <t>Jarmin L Lamera</t>
  </si>
  <si>
    <t>Muh Ali</t>
  </si>
  <si>
    <t>Sumatera</t>
  </si>
  <si>
    <t>Bakri Rumbouw</t>
  </si>
  <si>
    <t>Abdullah Abas</t>
  </si>
  <si>
    <t>Sandi</t>
  </si>
  <si>
    <t>Technical Support Lead</t>
  </si>
  <si>
    <t>Farid L. Masaoy</t>
  </si>
  <si>
    <t>Hironimus Mori Uma</t>
  </si>
  <si>
    <t>Warranty Officer</t>
  </si>
  <si>
    <t>I Kadek Arya Pradana</t>
  </si>
  <si>
    <t>R&amp;D</t>
  </si>
  <si>
    <t>Service Engineer</t>
  </si>
  <si>
    <t>Muhammad Riky Hidayatullah</t>
  </si>
  <si>
    <t>Kalimantan</t>
  </si>
  <si>
    <t>Kasianto Seaheinenia</t>
  </si>
  <si>
    <t>Trainer Technical</t>
  </si>
  <si>
    <t>Muhammad Rizki Prastio</t>
  </si>
  <si>
    <t>Roma Setiawan</t>
  </si>
  <si>
    <t>Muhamad Aldi Risaldi</t>
  </si>
  <si>
    <t>Syahendani Fatahang</t>
  </si>
  <si>
    <t>Trainer DT</t>
  </si>
  <si>
    <t>Arman Umar</t>
  </si>
  <si>
    <t>Senior Mechanic</t>
  </si>
  <si>
    <t>Frando Ramos</t>
  </si>
  <si>
    <t>Muh Alwalid Chandra Anugrah</t>
  </si>
  <si>
    <t>Waldi Hamka</t>
  </si>
  <si>
    <t>Senior Engineer</t>
  </si>
  <si>
    <t>Indriani Mahbubah</t>
  </si>
  <si>
    <t>Rohmat Hartanto</t>
  </si>
  <si>
    <t>Service Marketing &amp; Development Manager</t>
  </si>
  <si>
    <t>Adrian Taufan</t>
  </si>
  <si>
    <t>Rizky Farizan Fiqri</t>
  </si>
  <si>
    <t>Service Advisor</t>
  </si>
  <si>
    <t>Valen Fernanda</t>
  </si>
  <si>
    <t>Rian Alfandi</t>
  </si>
  <si>
    <t>Laode Jaisimani</t>
  </si>
  <si>
    <t>Gabriel Pelealu</t>
  </si>
  <si>
    <t>Johan Stendly Lawery</t>
  </si>
  <si>
    <t>Muhammad Sakka</t>
  </si>
  <si>
    <t>Kusumanendra Tri Yudhanto</t>
  </si>
  <si>
    <t>Service GM</t>
  </si>
  <si>
    <t>Adinovrianto</t>
  </si>
  <si>
    <t>IKIP</t>
  </si>
  <si>
    <t>Ahmad Adriyan</t>
  </si>
  <si>
    <t>Ardi</t>
  </si>
  <si>
    <t>Muh. Diksar</t>
  </si>
  <si>
    <t>Muhammad Riedle Syahputra</t>
  </si>
  <si>
    <t>Mechanic Junior</t>
  </si>
  <si>
    <t>Buyong Alfariz Siahaan</t>
  </si>
  <si>
    <t>Mochammad Dery Ramdani</t>
  </si>
  <si>
    <t>Rudi Hermawan</t>
  </si>
  <si>
    <t>Trainer Mechanic</t>
  </si>
  <si>
    <t>Azzura Nurul Sukma</t>
  </si>
  <si>
    <t>Zarir Athaullah</t>
  </si>
  <si>
    <t>Ahmad Shobri Ardiana</t>
  </si>
  <si>
    <t>Reza Indera Waskita</t>
  </si>
  <si>
    <t>RnD Engineer</t>
  </si>
  <si>
    <t>Heru Pramono</t>
  </si>
  <si>
    <t>R&amp;D Manager</t>
  </si>
  <si>
    <t>Sariyono</t>
  </si>
  <si>
    <t>Mechanic Internship</t>
  </si>
  <si>
    <t>M. Arif Fachruddln</t>
  </si>
  <si>
    <t>Mohamad Taufik Kamil</t>
  </si>
  <si>
    <t>Putra Ade Pio</t>
  </si>
  <si>
    <t>Rio Adi Guna</t>
  </si>
  <si>
    <t>Muammar Hussain</t>
  </si>
  <si>
    <t>Mechanical Engineer (Balikpapan)</t>
  </si>
  <si>
    <t>Jefri Saputra</t>
  </si>
  <si>
    <t>Sumatra</t>
  </si>
  <si>
    <t>ITEM PEMERIKSAAN</t>
  </si>
  <si>
    <t>PANDUAN TEKNIS</t>
  </si>
  <si>
    <t>STATUS</t>
  </si>
  <si>
    <t>FOTO</t>
  </si>
  <si>
    <t>CATATAN TEMUAN</t>
  </si>
  <si>
    <t>Khusus perhatikan tanda geser horizontal</t>
  </si>
  <si>
    <t>Retak, bengkok, atau korosi berat</t>
  </si>
  <si>
    <t>Aus, retak, atau kehilangan pelumas</t>
  </si>
  <si>
    <t>Retak las, bengkok, atau deformasi</t>
  </si>
  <si>
    <t>Berfungsi, tidak bengkok/patah</t>
  </si>
  <si>
    <t>Retak, aus, atau kehilangan komponen</t>
  </si>
  <si>
    <t>Sobek, keras, kendor, atau retak bracket</t>
  </si>
  <si>
    <t>Kunci berfungsi dan bracket tidak retak</t>
  </si>
  <si>
    <t>Korosi, retak, deformasi</t>
  </si>
  <si>
    <t>DATA UNIT &amp; INSPEKSI</t>
  </si>
  <si>
    <t>Tanda Tangan</t>
  </si>
  <si>
    <t xml:space="preserve">[ OK ]  [ Not OK ] [Korosi] </t>
  </si>
  <si>
    <t>Ban Kanan (Posisi 2)</t>
  </si>
  <si>
    <t>Periksa kelurusan, retakan, jumlah 10 baut dan deformasi</t>
  </si>
  <si>
    <t>Ban Kanan (Posisi 4)</t>
  </si>
  <si>
    <t>Pergerakan Driver Berlawanan Arah Jarum Jam</t>
  </si>
  <si>
    <t>Front Spring Hanger</t>
  </si>
  <si>
    <t>Steering Bracket</t>
  </si>
  <si>
    <t>Engine Cross Member</t>
  </si>
  <si>
    <t>Transmission Cross Member</t>
  </si>
  <si>
    <t>Battery Box Bracket</t>
  </si>
  <si>
    <t>Body Front Mounting</t>
  </si>
  <si>
    <t>Ban Kiri (Posisi 1)</t>
  </si>
  <si>
    <t>Ban Kiri (Posisi 3)</t>
  </si>
  <si>
    <t>Body Rear Mounting</t>
  </si>
  <si>
    <t>Frame Rail L/H</t>
  </si>
  <si>
    <t>Frame Rail R/H</t>
  </si>
  <si>
    <t>Cross Member Weld Area</t>
  </si>
  <si>
    <t>Cab Mounting Rubber &amp; Bracket</t>
  </si>
  <si>
    <t>Cab Tipping Lock Mechanism</t>
  </si>
  <si>
    <t>Front &amp; Rear Cab Support Bracket</t>
  </si>
  <si>
    <t>Battery Pack Mounting Bracket</t>
  </si>
  <si>
    <t>Battery Tray Weld</t>
  </si>
  <si>
    <t>HV Cable Clamp Mounting</t>
  </si>
  <si>
    <t>E-axle Mounting Bracket</t>
  </si>
  <si>
    <t>Motor Mounting Bracket</t>
  </si>
  <si>
    <t>DC-DC Converter Support</t>
  </si>
  <si>
    <t>Charging Port Bracket</t>
  </si>
  <si>
    <t>Sub-Frame Penguat Bak Dump</t>
  </si>
  <si>
    <r>
      <t>Titik Engsel Bak (H</t>
    </r>
    <r>
      <rPr>
        <b/>
        <i/>
        <sz val="9.5"/>
        <color theme="1"/>
        <rFont val="Malgun Gothic"/>
        <family val="2"/>
      </rPr>
      <t>inge Pin</t>
    </r>
    <r>
      <rPr>
        <b/>
        <sz val="9.5"/>
        <color theme="1"/>
        <rFont val="Malgun Gothic"/>
        <family val="2"/>
      </rPr>
      <t xml:space="preserve"> &amp; Bracket)</t>
    </r>
  </si>
  <si>
    <t>Dudukan Silinder Hidrolik (Cylinder Bracket)</t>
  </si>
  <si>
    <t>Safety Prop / Locking Bar Bak</t>
  </si>
  <si>
    <t>Baut Body Mounting (Dump Body ke Frame)</t>
  </si>
  <si>
    <t>Tailgate Locking Mechanism Bracket</t>
  </si>
  <si>
    <t xml:space="preserve">No </t>
  </si>
  <si>
    <t xml:space="preserve">Driver </t>
  </si>
  <si>
    <t>Mekanik PT.MSI</t>
  </si>
  <si>
    <t>Hydraulic Tank Bracket</t>
  </si>
  <si>
    <t>Ban Kiri (Posisi 5 &amp; 6)</t>
  </si>
  <si>
    <t>Ban Kiri (Posisi 9 &amp; 10)</t>
  </si>
  <si>
    <t>Ban Kanan (Posisi 11 &amp; 12)</t>
  </si>
  <si>
    <t>Ban Kanan (Posisi 7 &amp; 8)</t>
  </si>
  <si>
    <t>Nomer Unit / Nomer Lambung DT :</t>
  </si>
  <si>
    <t>KM/HM saat Inspeksi :</t>
  </si>
  <si>
    <t xml:space="preserve">Tanggal : </t>
  </si>
  <si>
    <t xml:space="preserve">Note: </t>
  </si>
  <si>
    <t>ONLY IN EV TRUCK</t>
  </si>
  <si>
    <t>ICE &amp; EV</t>
  </si>
  <si>
    <t>Ban Pressure</t>
  </si>
  <si>
    <t>Mounting Lamp</t>
  </si>
  <si>
    <t>Tekanan depan 150 psi, belakang 170 psi</t>
  </si>
  <si>
    <t>Baut baut lampu</t>
  </si>
  <si>
    <t xml:space="preserve">[ OK ]  [ Not OK ] [Longgar] </t>
  </si>
  <si>
    <t xml:space="preserve">[ OK ]  [ Not OK ] [Kurang]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</si>
</sst>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mm/dd/yy;@"/>
    <numFmt numFmtId="166" formatCode="[$-409]d\-mmm\-yy;@"/>
  </numFmts>
  <fonts count="27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10141A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4"/>
      <color theme="1"/>
      <name val="Malgun Gothic"/>
      <family val="2"/>
    </font>
    <font>
      <b/>
      <sz val="9.5"/>
      <color theme="1"/>
      <name val="Arial"/>
      <family val="2"/>
    </font>
    <font>
      <i/>
      <sz val="8.5"/>
      <color rgb="FF555555"/>
      <name val="Arial"/>
      <family val="2"/>
    </font>
    <font>
      <b/>
      <sz val="11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i/>
      <sz val="9.5"/>
      <color theme="1"/>
      <name val="Arial"/>
      <family val="2"/>
    </font>
    <font>
      <b/>
      <sz val="10.5"/>
      <color rgb="FFFFFFFF"/>
      <name val="Malgun Gothic"/>
      <family val="2"/>
    </font>
    <font>
      <b/>
      <sz val="9.5"/>
      <color theme="1"/>
      <name val="Malgun Gothic"/>
      <family val="2"/>
    </font>
    <font>
      <sz val="10"/>
      <color theme="1"/>
      <name val="Malgun Gothic"/>
      <family val="2"/>
    </font>
    <font>
      <sz val="7"/>
      <color rgb="FF888888"/>
      <name val="Malgun Gothic"/>
      <family val="2"/>
    </font>
    <font>
      <i/>
      <sz val="8.5"/>
      <color rgb="FF555555"/>
      <name val="Malgun Gothic"/>
      <family val="2"/>
    </font>
    <font>
      <b/>
      <i/>
      <sz val="9.5"/>
      <color theme="1"/>
      <name val="Malgun Gothic"/>
      <family val="2"/>
    </font>
    <font>
      <b/>
      <i/>
      <sz val="9.5"/>
      <color rgb="FF555555"/>
      <name val="Malgun Gothic"/>
      <family val="2"/>
    </font>
    <font>
      <b/>
      <sz val="10"/>
      <color rgb="FF000000"/>
      <name val="Malgun Gothic"/>
      <family val="2"/>
    </font>
    <font>
      <b/>
      <i/>
      <sz val="9"/>
      <color theme="1"/>
      <name val="Malgun Gothic"/>
      <family val="2"/>
    </font>
    <font>
      <sz val="14"/>
      <color theme="1"/>
      <name val="Malgun Gothic"/>
      <family val="2"/>
    </font>
    <font>
      <sz val="11"/>
      <color theme="1"/>
      <name val="Malgun Gothic"/>
      <family val="2"/>
    </font>
    <font>
      <b/>
      <i/>
      <sz val="8.5"/>
      <color rgb="FF555555"/>
      <name val="Arial"/>
      <family val="2"/>
    </font>
    <font>
      <b/>
      <sz val="8.5"/>
      <color rgb="FF555555"/>
      <name val="Malgun Gothic"/>
      <family val="2"/>
    </font>
    <font>
      <b/>
      <i/>
      <sz val="8.5"/>
      <color rgb="FF555555"/>
      <name val="Malgun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99FF"/>
        <bgColor rgb="FFCC99FF"/>
      </patternFill>
    </fill>
    <fill>
      <patternFill patternType="solid">
        <fgColor rgb="FFFFFFFF"/>
        <bgColor rgb="FFFFFFCC"/>
      </patternFill>
    </fill>
    <fill>
      <patternFill patternType="solid">
        <fgColor rgb="FF1A527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center" vertical="center"/>
    </xf>
    <xf numFmtId="0" fontId="11" fillId="6" borderId="5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21" fillId="0" borderId="1" xfId="0" applyFont="1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2" fillId="0" borderId="0" xfId="0" applyFont="1"/>
    <xf numFmtId="0" fontId="6" fillId="0" borderId="0" xfId="0" applyFont="1"/>
    <xf numFmtId="0" fontId="19" fillId="7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 wrapText="1"/>
    </xf>
    <xf numFmtId="0" fontId="21" fillId="7" borderId="1" xfId="0" applyFont="1" applyFill="1" applyBorder="1"/>
    <xf numFmtId="0" fontId="14" fillId="0" borderId="2" xfId="0" applyFont="1" applyBorder="1" applyAlignment="1">
      <alignment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vertical="center" wrapText="1"/>
    </xf>
    <xf numFmtId="0" fontId="10" fillId="5" borderId="18" xfId="0" applyFont="1" applyFill="1" applyBorder="1" applyAlignment="1">
      <alignment vertical="top" wrapText="1"/>
    </xf>
    <xf numFmtId="0" fontId="9" fillId="4" borderId="7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vertical="top" wrapText="1"/>
    </xf>
    <xf numFmtId="0" fontId="10" fillId="5" borderId="13" xfId="0" applyFont="1" applyFill="1" applyBorder="1" applyAlignment="1">
      <alignment vertical="top" wrapText="1"/>
    </xf>
    <xf numFmtId="0" fontId="0" fillId="0" borderId="1" xfId="0" applyBorder="1"/>
    <xf numFmtId="0" fontId="24" fillId="0" borderId="0" xfId="0" applyFont="1" applyAlignment="1">
      <alignment horizontal="right" vertical="center" wrapText="1"/>
    </xf>
    <xf numFmtId="0" fontId="25" fillId="7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15" fillId="6" borderId="9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6" borderId="15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70AD47"/>
      <rgbColor rgb="FF003366"/>
      <rgbColor rgb="FF319B62"/>
      <rgbColor rgb="FF10141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163286</xdr:colOff>
      <xdr:row>0</xdr:row>
      <xdr:rowOff>99786</xdr:rowOff>
    </xdr:from>
    <xdr:to>
      <xdr:col>1</xdr:col>
      <xdr:colOff>2302521</xdr:colOff>
      <xdr:row>3</xdr:row>
      <xdr:rowOff>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8700D-83E8-4C7F-BD3D-97004C70B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6" y="99786"/>
          <a:ext cx="2142781" cy="4907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562429</xdr:colOff>
      <xdr:row>0</xdr:row>
      <xdr:rowOff>0</xdr:rowOff>
    </xdr:from>
    <xdr:to>
      <xdr:col>5</xdr:col>
      <xdr:colOff>1737179</xdr:colOff>
      <xdr:row>3</xdr:row>
      <xdr:rowOff>137850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952CEE-56EA-44F8-80EC-DE06F293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74804" y="0"/>
          <a:ext cx="1174750" cy="709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206375</xdr:colOff>
      <xdr:row>5</xdr:row>
      <xdr:rowOff>79375</xdr:rowOff>
    </xdr:from>
    <xdr:to>
      <xdr:col>18</xdr:col>
      <xdr:colOff>285750</xdr:colOff>
      <xdr:row>13</xdr:row>
      <xdr:rowOff>111125</xdr:rowOff>
    </xdr:to>
    <xdr:sp macro="" textlink="">
      <xdr:nvSpPr>
        <xdr:cNvPr id="41" name="Arrow: Up 40">
          <a:extLst>
            <a:ext uri="{FF2B5EF4-FFF2-40B4-BE49-F238E27FC236}">
              <a16:creationId xmlns:a16="http://schemas.microsoft.com/office/drawing/2014/main" id="{D7DB69CA-6453-4567-B495-47A4CC404823}"/>
            </a:ext>
          </a:extLst>
        </xdr:cNvPr>
        <xdr:cNvSpPr/>
      </xdr:nvSpPr>
      <xdr:spPr>
        <a:xfrm>
          <a:off x="14605000" y="2397125"/>
          <a:ext cx="682625" cy="1714500"/>
        </a:xfrm>
        <a:prstGeom prst="up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800"/>
        </a:p>
      </xdr:txBody>
    </xdr:sp>
    <xdr:clientData/>
  </xdr:twoCellAnchor>
  <xdr:twoCellAnchor>
    <xdr:from>
      <xdr:col>12</xdr:col>
      <xdr:colOff>543126</xdr:colOff>
      <xdr:row>8</xdr:row>
      <xdr:rowOff>36622</xdr:rowOff>
    </xdr:from>
    <xdr:to>
      <xdr:col>15</xdr:col>
      <xdr:colOff>488207</xdr:colOff>
      <xdr:row>49</xdr:row>
      <xdr:rowOff>3646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3DFB80E0-734E-43E6-8266-F82FDAD31338}"/>
            </a:ext>
          </a:extLst>
        </xdr:cNvPr>
        <xdr:cNvGrpSpPr/>
      </xdr:nvGrpSpPr>
      <xdr:grpSpPr>
        <a:xfrm>
          <a:off x="16904298" y="1832481"/>
          <a:ext cx="1760784" cy="7993821"/>
          <a:chOff x="11842828" y="2623629"/>
          <a:chExt cx="2600536" cy="8344406"/>
        </a:xfrm>
        <a:noFill/>
      </xdr:grpSpPr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6FC632D9-E71A-4E62-B417-D0F5EFCF1E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5400000">
            <a:off x="8970893" y="5495564"/>
            <a:ext cx="8344406" cy="2600536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</xdr:pic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996F40CC-F6C1-46DD-9360-61B6BFB4F910}"/>
              </a:ext>
            </a:extLst>
          </xdr:cNvPr>
          <xdr:cNvSpPr/>
        </xdr:nvSpPr>
        <xdr:spPr>
          <a:xfrm>
            <a:off x="11996830" y="5219055"/>
            <a:ext cx="476250" cy="937473"/>
          </a:xfrm>
          <a:prstGeom prst="rect">
            <a:avLst/>
          </a:prstGeom>
          <a:grpFill/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800"/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C247C7BB-A135-4FC7-8BBB-488E3A213B11}"/>
              </a:ext>
            </a:extLst>
          </xdr:cNvPr>
          <xdr:cNvSpPr/>
        </xdr:nvSpPr>
        <xdr:spPr>
          <a:xfrm>
            <a:off x="13725525" y="3769013"/>
            <a:ext cx="479136" cy="939511"/>
          </a:xfrm>
          <a:prstGeom prst="rect">
            <a:avLst/>
          </a:prstGeom>
          <a:grpFill/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800"/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1FEACA4E-587C-41CA-B304-3302A04F7EE4}"/>
              </a:ext>
            </a:extLst>
          </xdr:cNvPr>
          <xdr:cNvSpPr/>
        </xdr:nvSpPr>
        <xdr:spPr>
          <a:xfrm>
            <a:off x="12033250" y="3778250"/>
            <a:ext cx="476250" cy="939511"/>
          </a:xfrm>
          <a:prstGeom prst="rect">
            <a:avLst/>
          </a:prstGeom>
          <a:grpFill/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800"/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4F31952A-B6AA-4B53-BD36-A54AF8B81FDC}"/>
              </a:ext>
            </a:extLst>
          </xdr:cNvPr>
          <xdr:cNvSpPr/>
        </xdr:nvSpPr>
        <xdr:spPr>
          <a:xfrm>
            <a:off x="13714657" y="5222043"/>
            <a:ext cx="475572" cy="937473"/>
          </a:xfrm>
          <a:prstGeom prst="rect">
            <a:avLst/>
          </a:prstGeom>
          <a:grpFill/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800"/>
          </a:p>
        </xdr:txBody>
      </xdr: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C20F8362-C68B-47AF-8BE9-E52140A98084}"/>
              </a:ext>
            </a:extLst>
          </xdr:cNvPr>
          <xdr:cNvGrpSpPr/>
        </xdr:nvGrpSpPr>
        <xdr:grpSpPr>
          <a:xfrm>
            <a:off x="11995728" y="8532091"/>
            <a:ext cx="692727" cy="2020454"/>
            <a:chOff x="11857182" y="8555182"/>
            <a:chExt cx="692727" cy="2020454"/>
          </a:xfrm>
          <a:grpFill/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A4896C87-D00D-4371-A493-608B594EC614}"/>
                </a:ext>
              </a:extLst>
            </xdr:cNvPr>
            <xdr:cNvSpPr/>
          </xdr:nvSpPr>
          <xdr:spPr>
            <a:xfrm>
              <a:off x="11877301" y="8555182"/>
              <a:ext cx="661063" cy="2020454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800"/>
            </a:p>
          </xdr:txBody>
        </xdr:sp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DDE79E45-BDA6-486C-A0D3-C6EE2F30A3C7}"/>
                </a:ext>
              </a:extLst>
            </xdr:cNvPr>
            <xdr:cNvCxnSpPr/>
          </xdr:nvCxnSpPr>
          <xdr:spPr>
            <a:xfrm>
              <a:off x="11857182" y="9548091"/>
              <a:ext cx="692727" cy="0"/>
            </a:xfrm>
            <a:prstGeom prst="line">
              <a:avLst/>
            </a:prstGeom>
            <a:grpFill/>
            <a:ln>
              <a:solidFill>
                <a:schemeClr val="tx1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7E4ADCDC-7883-4155-BE7F-852639D92293}"/>
              </a:ext>
            </a:extLst>
          </xdr:cNvPr>
          <xdr:cNvGrpSpPr/>
        </xdr:nvGrpSpPr>
        <xdr:grpSpPr>
          <a:xfrm>
            <a:off x="13487400" y="8580582"/>
            <a:ext cx="692727" cy="2020454"/>
            <a:chOff x="11857182" y="8555182"/>
            <a:chExt cx="692727" cy="2020454"/>
          </a:xfrm>
          <a:grpFill/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4106715-9EC3-4904-91D1-E164F33D352A}"/>
                </a:ext>
              </a:extLst>
            </xdr:cNvPr>
            <xdr:cNvSpPr/>
          </xdr:nvSpPr>
          <xdr:spPr>
            <a:xfrm>
              <a:off x="11877301" y="8555182"/>
              <a:ext cx="661063" cy="2020454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800"/>
            </a:p>
          </xdr:txBody>
        </xdr: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CA7EC21C-B6E7-4A20-8F21-5A4FE3D3F133}"/>
                </a:ext>
              </a:extLst>
            </xdr:cNvPr>
            <xdr:cNvCxnSpPr/>
          </xdr:nvCxnSpPr>
          <xdr:spPr>
            <a:xfrm>
              <a:off x="11857182" y="9548091"/>
              <a:ext cx="692727" cy="0"/>
            </a:xfrm>
            <a:prstGeom prst="line">
              <a:avLst/>
            </a:prstGeom>
            <a:grpFill/>
            <a:ln>
              <a:solidFill>
                <a:schemeClr val="tx1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15</xdr:col>
      <xdr:colOff>295485</xdr:colOff>
      <xdr:row>13</xdr:row>
      <xdr:rowOff>118390</xdr:rowOff>
    </xdr:from>
    <xdr:to>
      <xdr:col>16</xdr:col>
      <xdr:colOff>122303</xdr:colOff>
      <xdr:row>15</xdr:row>
      <xdr:rowOff>164573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5F29AA33-942E-4406-99D6-4CED934E2AB3}"/>
            </a:ext>
          </a:extLst>
        </xdr:cNvPr>
        <xdr:cNvSpPr/>
      </xdr:nvSpPr>
      <xdr:spPr>
        <a:xfrm>
          <a:off x="18538282" y="2959746"/>
          <a:ext cx="440292" cy="4121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1</a:t>
          </a:r>
        </a:p>
      </xdr:txBody>
    </xdr:sp>
    <xdr:clientData/>
  </xdr:twoCellAnchor>
  <xdr:twoCellAnchor>
    <xdr:from>
      <xdr:col>15</xdr:col>
      <xdr:colOff>58469</xdr:colOff>
      <xdr:row>7</xdr:row>
      <xdr:rowOff>70417</xdr:rowOff>
    </xdr:from>
    <xdr:to>
      <xdr:col>15</xdr:col>
      <xdr:colOff>497196</xdr:colOff>
      <xdr:row>9</xdr:row>
      <xdr:rowOff>1722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49019A6D-2291-408D-B7B8-A19FC7318630}"/>
            </a:ext>
          </a:extLst>
        </xdr:cNvPr>
        <xdr:cNvSpPr/>
      </xdr:nvSpPr>
      <xdr:spPr>
        <a:xfrm>
          <a:off x="18301266" y="1652536"/>
          <a:ext cx="438727" cy="3618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</a:t>
          </a:r>
        </a:p>
      </xdr:txBody>
    </xdr:sp>
    <xdr:clientData/>
  </xdr:twoCellAnchor>
  <xdr:twoCellAnchor>
    <xdr:from>
      <xdr:col>14</xdr:col>
      <xdr:colOff>181016</xdr:colOff>
      <xdr:row>7</xdr:row>
      <xdr:rowOff>106389</xdr:rowOff>
    </xdr:from>
    <xdr:to>
      <xdr:col>15</xdr:col>
      <xdr:colOff>7834</xdr:colOff>
      <xdr:row>8</xdr:row>
      <xdr:rowOff>186875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C9E8B333-6F9D-49E3-9A74-7400520CD0AD}"/>
            </a:ext>
          </a:extLst>
        </xdr:cNvPr>
        <xdr:cNvSpPr/>
      </xdr:nvSpPr>
      <xdr:spPr>
        <a:xfrm>
          <a:off x="17810338" y="1688508"/>
          <a:ext cx="440293" cy="30650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</a:t>
          </a:r>
        </a:p>
      </xdr:txBody>
    </xdr:sp>
    <xdr:clientData/>
  </xdr:twoCellAnchor>
  <xdr:twoCellAnchor>
    <xdr:from>
      <xdr:col>13</xdr:col>
      <xdr:colOff>435489</xdr:colOff>
      <xdr:row>7</xdr:row>
      <xdr:rowOff>90397</xdr:rowOff>
    </xdr:from>
    <xdr:to>
      <xdr:col>14</xdr:col>
      <xdr:colOff>122029</xdr:colOff>
      <xdr:row>8</xdr:row>
      <xdr:rowOff>171216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10FECA8C-AC0A-4E56-BCA3-65D0E64E4BF7}"/>
            </a:ext>
          </a:extLst>
        </xdr:cNvPr>
        <xdr:cNvSpPr/>
      </xdr:nvSpPr>
      <xdr:spPr>
        <a:xfrm>
          <a:off x="17451336" y="1672516"/>
          <a:ext cx="300015" cy="30683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4</a:t>
          </a:r>
        </a:p>
      </xdr:txBody>
    </xdr:sp>
    <xdr:clientData/>
  </xdr:twoCellAnchor>
  <xdr:twoCellAnchor>
    <xdr:from>
      <xdr:col>12</xdr:col>
      <xdr:colOff>150092</xdr:colOff>
      <xdr:row>13</xdr:row>
      <xdr:rowOff>138547</xdr:rowOff>
    </xdr:from>
    <xdr:to>
      <xdr:col>12</xdr:col>
      <xdr:colOff>588819</xdr:colOff>
      <xdr:row>16</xdr:row>
      <xdr:rowOff>2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A3279F3-F170-4615-ACD0-0FE21FFFFF2A}"/>
            </a:ext>
          </a:extLst>
        </xdr:cNvPr>
        <xdr:cNvSpPr/>
      </xdr:nvSpPr>
      <xdr:spPr>
        <a:xfrm>
          <a:off x="11326092" y="4214092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6</a:t>
          </a:r>
        </a:p>
      </xdr:txBody>
    </xdr:sp>
    <xdr:clientData/>
  </xdr:twoCellAnchor>
  <xdr:twoCellAnchor>
    <xdr:from>
      <xdr:col>12</xdr:col>
      <xdr:colOff>94674</xdr:colOff>
      <xdr:row>22</xdr:row>
      <xdr:rowOff>94675</xdr:rowOff>
    </xdr:from>
    <xdr:to>
      <xdr:col>12</xdr:col>
      <xdr:colOff>533401</xdr:colOff>
      <xdr:row>24</xdr:row>
      <xdr:rowOff>140858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21EEE331-6DA7-4769-BE23-44142D40EC17}"/>
            </a:ext>
          </a:extLst>
        </xdr:cNvPr>
        <xdr:cNvSpPr/>
      </xdr:nvSpPr>
      <xdr:spPr>
        <a:xfrm>
          <a:off x="11270674" y="5982857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20</a:t>
          </a:r>
        </a:p>
      </xdr:txBody>
    </xdr:sp>
    <xdr:clientData/>
  </xdr:twoCellAnchor>
  <xdr:twoCellAnchor>
    <xdr:from>
      <xdr:col>12</xdr:col>
      <xdr:colOff>63270</xdr:colOff>
      <xdr:row>45</xdr:row>
      <xdr:rowOff>45822</xdr:rowOff>
    </xdr:from>
    <xdr:to>
      <xdr:col>12</xdr:col>
      <xdr:colOff>501997</xdr:colOff>
      <xdr:row>46</xdr:row>
      <xdr:rowOff>88583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81A060A9-FE75-4D9F-97C1-EC862B7381C3}"/>
            </a:ext>
          </a:extLst>
        </xdr:cNvPr>
        <xdr:cNvSpPr/>
      </xdr:nvSpPr>
      <xdr:spPr>
        <a:xfrm>
          <a:off x="16455677" y="8900544"/>
          <a:ext cx="438727" cy="41905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28</a:t>
          </a:r>
        </a:p>
      </xdr:txBody>
    </xdr:sp>
    <xdr:clientData/>
  </xdr:twoCellAnchor>
  <xdr:twoCellAnchor>
    <xdr:from>
      <xdr:col>12</xdr:col>
      <xdr:colOff>67007</xdr:colOff>
      <xdr:row>40</xdr:row>
      <xdr:rowOff>32246</xdr:rowOff>
    </xdr:from>
    <xdr:to>
      <xdr:col>12</xdr:col>
      <xdr:colOff>505734</xdr:colOff>
      <xdr:row>42</xdr:row>
      <xdr:rowOff>66883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510F9296-CA73-4FDC-89B7-2F75B686C20B}"/>
            </a:ext>
          </a:extLst>
        </xdr:cNvPr>
        <xdr:cNvSpPr/>
      </xdr:nvSpPr>
      <xdr:spPr>
        <a:xfrm>
          <a:off x="16459414" y="7946227"/>
          <a:ext cx="438727" cy="41093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27</a:t>
          </a:r>
        </a:p>
      </xdr:txBody>
    </xdr:sp>
    <xdr:clientData/>
  </xdr:twoCellAnchor>
  <xdr:twoCellAnchor>
    <xdr:from>
      <xdr:col>15</xdr:col>
      <xdr:colOff>365072</xdr:colOff>
      <xdr:row>45</xdr:row>
      <xdr:rowOff>75772</xdr:rowOff>
    </xdr:from>
    <xdr:to>
      <xdr:col>16</xdr:col>
      <xdr:colOff>191890</xdr:colOff>
      <xdr:row>46</xdr:row>
      <xdr:rowOff>118533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FBB9ECA9-C933-47D3-A28C-5EB874E34DEB}"/>
            </a:ext>
          </a:extLst>
        </xdr:cNvPr>
        <xdr:cNvSpPr/>
      </xdr:nvSpPr>
      <xdr:spPr>
        <a:xfrm>
          <a:off x="18591924" y="8930494"/>
          <a:ext cx="438299" cy="41905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31</a:t>
          </a:r>
        </a:p>
      </xdr:txBody>
    </xdr:sp>
    <xdr:clientData/>
  </xdr:twoCellAnchor>
  <xdr:twoCellAnchor>
    <xdr:from>
      <xdr:col>15</xdr:col>
      <xdr:colOff>399877</xdr:colOff>
      <xdr:row>40</xdr:row>
      <xdr:rowOff>63408</xdr:rowOff>
    </xdr:from>
    <xdr:to>
      <xdr:col>16</xdr:col>
      <xdr:colOff>225130</xdr:colOff>
      <xdr:row>42</xdr:row>
      <xdr:rowOff>98045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23874639-0C65-457B-8D7F-86D7A1486EDB}"/>
            </a:ext>
          </a:extLst>
        </xdr:cNvPr>
        <xdr:cNvSpPr/>
      </xdr:nvSpPr>
      <xdr:spPr>
        <a:xfrm>
          <a:off x="18626729" y="7977389"/>
          <a:ext cx="436734" cy="41093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32</a:t>
          </a:r>
        </a:p>
      </xdr:txBody>
    </xdr:sp>
    <xdr:clientData/>
  </xdr:twoCellAnchor>
  <xdr:twoCellAnchor>
    <xdr:from>
      <xdr:col>15</xdr:col>
      <xdr:colOff>219364</xdr:colOff>
      <xdr:row>22</xdr:row>
      <xdr:rowOff>115457</xdr:rowOff>
    </xdr:from>
    <xdr:to>
      <xdr:col>16</xdr:col>
      <xdr:colOff>46182</xdr:colOff>
      <xdr:row>24</xdr:row>
      <xdr:rowOff>161640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03F0BA5-1B65-48A6-A761-6BAF0E1787D7}"/>
            </a:ext>
          </a:extLst>
        </xdr:cNvPr>
        <xdr:cNvSpPr/>
      </xdr:nvSpPr>
      <xdr:spPr>
        <a:xfrm>
          <a:off x="14050819" y="6003639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33</a:t>
          </a:r>
        </a:p>
      </xdr:txBody>
    </xdr:sp>
    <xdr:clientData/>
  </xdr:twoCellAnchor>
  <xdr:twoCellAnchor>
    <xdr:from>
      <xdr:col>12</xdr:col>
      <xdr:colOff>152401</xdr:colOff>
      <xdr:row>16</xdr:row>
      <xdr:rowOff>94674</xdr:rowOff>
    </xdr:from>
    <xdr:to>
      <xdr:col>12</xdr:col>
      <xdr:colOff>591128</xdr:colOff>
      <xdr:row>17</xdr:row>
      <xdr:rowOff>325583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E9BE96EA-4AAF-48B4-9BDE-F6B74C4997ED}"/>
            </a:ext>
          </a:extLst>
        </xdr:cNvPr>
        <xdr:cNvSpPr/>
      </xdr:nvSpPr>
      <xdr:spPr>
        <a:xfrm>
          <a:off x="11328401" y="4724401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7</a:t>
          </a:r>
        </a:p>
      </xdr:txBody>
    </xdr:sp>
    <xdr:clientData/>
  </xdr:twoCellAnchor>
  <xdr:twoCellAnchor>
    <xdr:from>
      <xdr:col>11</xdr:col>
      <xdr:colOff>293255</xdr:colOff>
      <xdr:row>16</xdr:row>
      <xdr:rowOff>96983</xdr:rowOff>
    </xdr:from>
    <xdr:to>
      <xdr:col>12</xdr:col>
      <xdr:colOff>120073</xdr:colOff>
      <xdr:row>17</xdr:row>
      <xdr:rowOff>327892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47CBD8B5-99B8-4620-B2D2-C3E620D25095}"/>
            </a:ext>
          </a:extLst>
        </xdr:cNvPr>
        <xdr:cNvSpPr/>
      </xdr:nvSpPr>
      <xdr:spPr>
        <a:xfrm>
          <a:off x="10857346" y="4726710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8</a:t>
          </a:r>
        </a:p>
      </xdr:txBody>
    </xdr:sp>
    <xdr:clientData/>
  </xdr:twoCellAnchor>
  <xdr:twoCellAnchor>
    <xdr:from>
      <xdr:col>10</xdr:col>
      <xdr:colOff>506682</xdr:colOff>
      <xdr:row>16</xdr:row>
      <xdr:rowOff>87746</xdr:rowOff>
    </xdr:from>
    <xdr:to>
      <xdr:col>11</xdr:col>
      <xdr:colOff>333500</xdr:colOff>
      <xdr:row>18</xdr:row>
      <xdr:rowOff>3877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6A8F39E8-284D-40A0-88C7-973C9DE0598D}"/>
            </a:ext>
          </a:extLst>
        </xdr:cNvPr>
        <xdr:cNvSpPr/>
      </xdr:nvSpPr>
      <xdr:spPr>
        <a:xfrm>
          <a:off x="12426539" y="4024746"/>
          <a:ext cx="443675" cy="27898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9</a:t>
          </a:r>
        </a:p>
      </xdr:txBody>
    </xdr:sp>
    <xdr:clientData/>
  </xdr:twoCellAnchor>
  <xdr:twoCellAnchor>
    <xdr:from>
      <xdr:col>11</xdr:col>
      <xdr:colOff>205510</xdr:colOff>
      <xdr:row>17</xdr:row>
      <xdr:rowOff>332509</xdr:rowOff>
    </xdr:from>
    <xdr:to>
      <xdr:col>12</xdr:col>
      <xdr:colOff>496454</xdr:colOff>
      <xdr:row>22</xdr:row>
      <xdr:rowOff>69273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C571AFBD-92B1-4F5B-AB2E-71D778211735}"/>
            </a:ext>
          </a:extLst>
        </xdr:cNvPr>
        <xdr:cNvSpPr/>
      </xdr:nvSpPr>
      <xdr:spPr>
        <a:xfrm>
          <a:off x="10769601" y="5146964"/>
          <a:ext cx="902853" cy="81049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10-19</a:t>
          </a:r>
        </a:p>
      </xdr:txBody>
    </xdr:sp>
    <xdr:clientData/>
  </xdr:twoCellAnchor>
  <xdr:twoCellAnchor>
    <xdr:from>
      <xdr:col>12</xdr:col>
      <xdr:colOff>96984</xdr:colOff>
      <xdr:row>25</xdr:row>
      <xdr:rowOff>16166</xdr:rowOff>
    </xdr:from>
    <xdr:to>
      <xdr:col>12</xdr:col>
      <xdr:colOff>535711</xdr:colOff>
      <xdr:row>27</xdr:row>
      <xdr:rowOff>50803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1A8C1ADF-25BA-4E97-AAB3-9D158607949D}"/>
            </a:ext>
          </a:extLst>
        </xdr:cNvPr>
        <xdr:cNvSpPr/>
      </xdr:nvSpPr>
      <xdr:spPr>
        <a:xfrm>
          <a:off x="11272984" y="6458530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21</a:t>
          </a:r>
        </a:p>
      </xdr:txBody>
    </xdr:sp>
    <xdr:clientData/>
  </xdr:twoCellAnchor>
  <xdr:twoCellAnchor>
    <xdr:from>
      <xdr:col>12</xdr:col>
      <xdr:colOff>75559</xdr:colOff>
      <xdr:row>42</xdr:row>
      <xdr:rowOff>158304</xdr:rowOff>
    </xdr:from>
    <xdr:to>
      <xdr:col>12</xdr:col>
      <xdr:colOff>514286</xdr:colOff>
      <xdr:row>45</xdr:row>
      <xdr:rowOff>4793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DFE08A19-B8B8-4FBC-9A1E-9D53657673F3}"/>
            </a:ext>
          </a:extLst>
        </xdr:cNvPr>
        <xdr:cNvSpPr/>
      </xdr:nvSpPr>
      <xdr:spPr>
        <a:xfrm>
          <a:off x="16467966" y="8448582"/>
          <a:ext cx="438727" cy="41093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22</a:t>
          </a:r>
        </a:p>
      </xdr:txBody>
    </xdr:sp>
    <xdr:clientData/>
  </xdr:twoCellAnchor>
  <xdr:twoCellAnchor>
    <xdr:from>
      <xdr:col>11</xdr:col>
      <xdr:colOff>243084</xdr:colOff>
      <xdr:row>25</xdr:row>
      <xdr:rowOff>5521</xdr:rowOff>
    </xdr:from>
    <xdr:to>
      <xdr:col>12</xdr:col>
      <xdr:colOff>68336</xdr:colOff>
      <xdr:row>27</xdr:row>
      <xdr:rowOff>50921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6F810EA5-5A6B-4C20-8292-9C0E3E57AA69}"/>
            </a:ext>
          </a:extLst>
        </xdr:cNvPr>
        <xdr:cNvSpPr/>
      </xdr:nvSpPr>
      <xdr:spPr>
        <a:xfrm>
          <a:off x="16031982" y="5042470"/>
          <a:ext cx="438727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23</a:t>
          </a:r>
        </a:p>
      </xdr:txBody>
    </xdr:sp>
    <xdr:clientData/>
  </xdr:twoCellAnchor>
  <xdr:twoCellAnchor>
    <xdr:from>
      <xdr:col>12</xdr:col>
      <xdr:colOff>30333</xdr:colOff>
      <xdr:row>34</xdr:row>
      <xdr:rowOff>40118</xdr:rowOff>
    </xdr:from>
    <xdr:to>
      <xdr:col>12</xdr:col>
      <xdr:colOff>470626</xdr:colOff>
      <xdr:row>36</xdr:row>
      <xdr:rowOff>74755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AE2EF906-F75C-4FE0-BE5F-4730C0EB1ACC}"/>
            </a:ext>
          </a:extLst>
        </xdr:cNvPr>
        <xdr:cNvSpPr/>
      </xdr:nvSpPr>
      <xdr:spPr>
        <a:xfrm>
          <a:off x="16432706" y="6756050"/>
          <a:ext cx="440293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24</a:t>
          </a:r>
        </a:p>
      </xdr:txBody>
    </xdr:sp>
    <xdr:clientData/>
  </xdr:twoCellAnchor>
  <xdr:twoCellAnchor>
    <xdr:from>
      <xdr:col>12</xdr:col>
      <xdr:colOff>31664</xdr:colOff>
      <xdr:row>37</xdr:row>
      <xdr:rowOff>16208</xdr:rowOff>
    </xdr:from>
    <xdr:to>
      <xdr:col>12</xdr:col>
      <xdr:colOff>470391</xdr:colOff>
      <xdr:row>39</xdr:row>
      <xdr:rowOff>50845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9DF2667C-52DE-4CF4-B138-792D0CE7592F}"/>
            </a:ext>
          </a:extLst>
        </xdr:cNvPr>
        <xdr:cNvSpPr/>
      </xdr:nvSpPr>
      <xdr:spPr>
        <a:xfrm>
          <a:off x="16434037" y="7291801"/>
          <a:ext cx="438727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25</a:t>
          </a:r>
        </a:p>
      </xdr:txBody>
    </xdr:sp>
    <xdr:clientData/>
  </xdr:twoCellAnchor>
  <xdr:twoCellAnchor>
    <xdr:from>
      <xdr:col>11</xdr:col>
      <xdr:colOff>163321</xdr:colOff>
      <xdr:row>37</xdr:row>
      <xdr:rowOff>17738</xdr:rowOff>
    </xdr:from>
    <xdr:to>
      <xdr:col>11</xdr:col>
      <xdr:colOff>603614</xdr:colOff>
      <xdr:row>39</xdr:row>
      <xdr:rowOff>52375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DC0EFB92-02FB-425B-B70A-046E70EA9706}"/>
            </a:ext>
          </a:extLst>
        </xdr:cNvPr>
        <xdr:cNvSpPr/>
      </xdr:nvSpPr>
      <xdr:spPr>
        <a:xfrm>
          <a:off x="15952219" y="7293331"/>
          <a:ext cx="440293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26</a:t>
          </a:r>
        </a:p>
      </xdr:txBody>
    </xdr:sp>
    <xdr:clientData/>
  </xdr:twoCellAnchor>
  <xdr:twoCellAnchor>
    <xdr:from>
      <xdr:col>13</xdr:col>
      <xdr:colOff>602753</xdr:colOff>
      <xdr:row>48</xdr:row>
      <xdr:rowOff>162626</xdr:rowOff>
    </xdr:from>
    <xdr:to>
      <xdr:col>14</xdr:col>
      <xdr:colOff>428005</xdr:colOff>
      <xdr:row>49</xdr:row>
      <xdr:rowOff>160895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170DFDB3-25CA-46F3-B0FB-66EF073CA6FB}"/>
            </a:ext>
          </a:extLst>
        </xdr:cNvPr>
        <xdr:cNvSpPr/>
      </xdr:nvSpPr>
      <xdr:spPr>
        <a:xfrm>
          <a:off x="17618600" y="9687626"/>
          <a:ext cx="438727" cy="18123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30</a:t>
          </a:r>
        </a:p>
      </xdr:txBody>
    </xdr:sp>
    <xdr:clientData/>
  </xdr:twoCellAnchor>
  <xdr:twoCellAnchor>
    <xdr:from>
      <xdr:col>15</xdr:col>
      <xdr:colOff>168566</xdr:colOff>
      <xdr:row>25</xdr:row>
      <xdr:rowOff>87748</xdr:rowOff>
    </xdr:from>
    <xdr:to>
      <xdr:col>15</xdr:col>
      <xdr:colOff>607293</xdr:colOff>
      <xdr:row>27</xdr:row>
      <xdr:rowOff>122385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EC7D6CE1-4E87-4765-B6D4-DFE90C9AA03D}"/>
            </a:ext>
          </a:extLst>
        </xdr:cNvPr>
        <xdr:cNvSpPr/>
      </xdr:nvSpPr>
      <xdr:spPr>
        <a:xfrm>
          <a:off x="14000021" y="6530112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21</a:t>
          </a:r>
        </a:p>
      </xdr:txBody>
    </xdr:sp>
    <xdr:clientData/>
  </xdr:twoCellAnchor>
  <xdr:twoCellAnchor>
    <xdr:from>
      <xdr:col>15</xdr:col>
      <xdr:colOff>370568</xdr:colOff>
      <xdr:row>42</xdr:row>
      <xdr:rowOff>135810</xdr:rowOff>
    </xdr:from>
    <xdr:to>
      <xdr:col>16</xdr:col>
      <xdr:colOff>197386</xdr:colOff>
      <xdr:row>44</xdr:row>
      <xdr:rowOff>173868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66DEB18-75DB-4572-9BA5-257F6DCDF140}"/>
            </a:ext>
          </a:extLst>
        </xdr:cNvPr>
        <xdr:cNvSpPr/>
      </xdr:nvSpPr>
      <xdr:spPr>
        <a:xfrm>
          <a:off x="18597420" y="8426088"/>
          <a:ext cx="438299" cy="41435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22</a:t>
          </a:r>
        </a:p>
      </xdr:txBody>
    </xdr:sp>
    <xdr:clientData/>
  </xdr:twoCellAnchor>
  <xdr:twoCellAnchor>
    <xdr:from>
      <xdr:col>16</xdr:col>
      <xdr:colOff>34053</xdr:colOff>
      <xdr:row>25</xdr:row>
      <xdr:rowOff>80821</xdr:rowOff>
    </xdr:from>
    <xdr:to>
      <xdr:col>16</xdr:col>
      <xdr:colOff>474345</xdr:colOff>
      <xdr:row>27</xdr:row>
      <xdr:rowOff>126221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3FD5370-51E1-4F90-B236-BB8A286306E9}"/>
            </a:ext>
          </a:extLst>
        </xdr:cNvPr>
        <xdr:cNvSpPr/>
      </xdr:nvSpPr>
      <xdr:spPr>
        <a:xfrm>
          <a:off x="18890324" y="5117770"/>
          <a:ext cx="440292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23</a:t>
          </a:r>
        </a:p>
      </xdr:txBody>
    </xdr:sp>
    <xdr:clientData/>
  </xdr:twoCellAnchor>
  <xdr:twoCellAnchor>
    <xdr:from>
      <xdr:col>15</xdr:col>
      <xdr:colOff>339868</xdr:colOff>
      <xdr:row>34</xdr:row>
      <xdr:rowOff>72368</xdr:rowOff>
    </xdr:from>
    <xdr:to>
      <xdr:col>16</xdr:col>
      <xdr:colOff>165121</xdr:colOff>
      <xdr:row>36</xdr:row>
      <xdr:rowOff>107005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66C15AB-E112-4D8A-9927-F3B4232310EE}"/>
            </a:ext>
          </a:extLst>
        </xdr:cNvPr>
        <xdr:cNvSpPr/>
      </xdr:nvSpPr>
      <xdr:spPr>
        <a:xfrm>
          <a:off x="18582665" y="6788300"/>
          <a:ext cx="438727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24</a:t>
          </a:r>
        </a:p>
      </xdr:txBody>
    </xdr:sp>
    <xdr:clientData/>
  </xdr:twoCellAnchor>
  <xdr:twoCellAnchor>
    <xdr:from>
      <xdr:col>15</xdr:col>
      <xdr:colOff>295410</xdr:colOff>
      <xdr:row>37</xdr:row>
      <xdr:rowOff>64697</xdr:rowOff>
    </xdr:from>
    <xdr:to>
      <xdr:col>16</xdr:col>
      <xdr:colOff>120663</xdr:colOff>
      <xdr:row>39</xdr:row>
      <xdr:rowOff>99334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94C964FE-7EA9-4668-90A4-E04BF97A05D1}"/>
            </a:ext>
          </a:extLst>
        </xdr:cNvPr>
        <xdr:cNvSpPr/>
      </xdr:nvSpPr>
      <xdr:spPr>
        <a:xfrm>
          <a:off x="18538207" y="7340290"/>
          <a:ext cx="438727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25</a:t>
          </a:r>
        </a:p>
      </xdr:txBody>
    </xdr:sp>
    <xdr:clientData/>
  </xdr:twoCellAnchor>
  <xdr:twoCellAnchor>
    <xdr:from>
      <xdr:col>16</xdr:col>
      <xdr:colOff>146846</xdr:colOff>
      <xdr:row>37</xdr:row>
      <xdr:rowOff>43914</xdr:rowOff>
    </xdr:from>
    <xdr:to>
      <xdr:col>16</xdr:col>
      <xdr:colOff>585573</xdr:colOff>
      <xdr:row>39</xdr:row>
      <xdr:rowOff>78551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13030A50-D163-4A85-9F00-1A0117C5237A}"/>
            </a:ext>
          </a:extLst>
        </xdr:cNvPr>
        <xdr:cNvSpPr/>
      </xdr:nvSpPr>
      <xdr:spPr>
        <a:xfrm>
          <a:off x="19003117" y="7319507"/>
          <a:ext cx="438727" cy="41133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26</a:t>
          </a:r>
        </a:p>
      </xdr:txBody>
    </xdr:sp>
    <xdr:clientData/>
  </xdr:twoCellAnchor>
  <xdr:twoCellAnchor>
    <xdr:from>
      <xdr:col>15</xdr:col>
      <xdr:colOff>184728</xdr:colOff>
      <xdr:row>18</xdr:row>
      <xdr:rowOff>46181</xdr:rowOff>
    </xdr:from>
    <xdr:to>
      <xdr:col>16</xdr:col>
      <xdr:colOff>475672</xdr:colOff>
      <xdr:row>22</xdr:row>
      <xdr:rowOff>117763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5D0C3E0C-6D6D-470E-9C23-AE46873F2657}"/>
            </a:ext>
          </a:extLst>
        </xdr:cNvPr>
        <xdr:cNvSpPr/>
      </xdr:nvSpPr>
      <xdr:spPr>
        <a:xfrm>
          <a:off x="14016183" y="5195454"/>
          <a:ext cx="902853" cy="81049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10-19</a:t>
          </a:r>
        </a:p>
      </xdr:txBody>
    </xdr:sp>
    <xdr:clientData/>
  </xdr:twoCellAnchor>
  <xdr:twoCellAnchor>
    <xdr:from>
      <xdr:col>15</xdr:col>
      <xdr:colOff>247073</xdr:colOff>
      <xdr:row>16</xdr:row>
      <xdr:rowOff>108528</xdr:rowOff>
    </xdr:from>
    <xdr:to>
      <xdr:col>16</xdr:col>
      <xdr:colOff>73891</xdr:colOff>
      <xdr:row>18</xdr:row>
      <xdr:rowOff>4619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C12F7AF2-0A66-47DA-8944-983C2FBD993B}"/>
            </a:ext>
          </a:extLst>
        </xdr:cNvPr>
        <xdr:cNvSpPr/>
      </xdr:nvSpPr>
      <xdr:spPr>
        <a:xfrm>
          <a:off x="14078528" y="4738255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7</a:t>
          </a:r>
        </a:p>
      </xdr:txBody>
    </xdr:sp>
    <xdr:clientData/>
  </xdr:twoCellAnchor>
  <xdr:twoCellAnchor>
    <xdr:from>
      <xdr:col>16</xdr:col>
      <xdr:colOff>110836</xdr:colOff>
      <xdr:row>16</xdr:row>
      <xdr:rowOff>99291</xdr:rowOff>
    </xdr:from>
    <xdr:to>
      <xdr:col>16</xdr:col>
      <xdr:colOff>549563</xdr:colOff>
      <xdr:row>17</xdr:row>
      <xdr:rowOff>330200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86A2E5F0-3C76-44F6-B36F-EA18BB247FB9}"/>
            </a:ext>
          </a:extLst>
        </xdr:cNvPr>
        <xdr:cNvSpPr/>
      </xdr:nvSpPr>
      <xdr:spPr>
        <a:xfrm>
          <a:off x="14554200" y="4729018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8</a:t>
          </a:r>
        </a:p>
      </xdr:txBody>
    </xdr:sp>
    <xdr:clientData/>
  </xdr:twoCellAnchor>
  <xdr:twoCellAnchor>
    <xdr:from>
      <xdr:col>16</xdr:col>
      <xdr:colOff>586510</xdr:colOff>
      <xdr:row>16</xdr:row>
      <xdr:rowOff>90054</xdr:rowOff>
    </xdr:from>
    <xdr:to>
      <xdr:col>17</xdr:col>
      <xdr:colOff>413328</xdr:colOff>
      <xdr:row>17</xdr:row>
      <xdr:rowOff>320963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A2091DD1-4EC2-478A-A9DA-D83CD5D00752}"/>
            </a:ext>
          </a:extLst>
        </xdr:cNvPr>
        <xdr:cNvSpPr/>
      </xdr:nvSpPr>
      <xdr:spPr>
        <a:xfrm>
          <a:off x="15029874" y="4719781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9</a:t>
          </a:r>
        </a:p>
      </xdr:txBody>
    </xdr:sp>
    <xdr:clientData/>
  </xdr:twoCellAnchor>
  <xdr:twoCellAnchor editAs="oneCell">
    <xdr:from>
      <xdr:col>10</xdr:col>
      <xdr:colOff>364218</xdr:colOff>
      <xdr:row>56</xdr:row>
      <xdr:rowOff>76653</xdr:rowOff>
    </xdr:from>
    <xdr:to>
      <xdr:col>21</xdr:col>
      <xdr:colOff>419695</xdr:colOff>
      <xdr:row>68</xdr:row>
      <xdr:rowOff>1814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C33E6281-8AF3-457A-A6F0-CB0D46690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9764" b="26062"/>
        <a:stretch/>
      </xdr:blipFill>
      <xdr:spPr>
        <a:xfrm>
          <a:off x="15534218" y="11616653"/>
          <a:ext cx="6765477" cy="26901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34059</xdr:colOff>
      <xdr:row>68</xdr:row>
      <xdr:rowOff>40698</xdr:rowOff>
    </xdr:from>
    <xdr:to>
      <xdr:col>12</xdr:col>
      <xdr:colOff>472786</xdr:colOff>
      <xdr:row>69</xdr:row>
      <xdr:rowOff>125000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F2A1C347-1853-459A-8EC0-91799510B6C5}"/>
            </a:ext>
          </a:extLst>
        </xdr:cNvPr>
        <xdr:cNvSpPr/>
      </xdr:nvSpPr>
      <xdr:spPr>
        <a:xfrm>
          <a:off x="16424059" y="14345698"/>
          <a:ext cx="438727" cy="28930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6</a:t>
          </a:r>
        </a:p>
      </xdr:txBody>
    </xdr:sp>
    <xdr:clientData/>
  </xdr:twoCellAnchor>
  <xdr:twoCellAnchor>
    <xdr:from>
      <xdr:col>13</xdr:col>
      <xdr:colOff>141288</xdr:colOff>
      <xdr:row>67</xdr:row>
      <xdr:rowOff>384999</xdr:rowOff>
    </xdr:from>
    <xdr:to>
      <xdr:col>13</xdr:col>
      <xdr:colOff>533381</xdr:colOff>
      <xdr:row>70</xdr:row>
      <xdr:rowOff>43508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99FEB554-851F-473F-9B87-624F1E04180E}"/>
            </a:ext>
          </a:extLst>
        </xdr:cNvPr>
        <xdr:cNvSpPr/>
      </xdr:nvSpPr>
      <xdr:spPr>
        <a:xfrm>
          <a:off x="17141288" y="14304999"/>
          <a:ext cx="392093" cy="43350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10-19</a:t>
          </a:r>
        </a:p>
      </xdr:txBody>
    </xdr:sp>
    <xdr:clientData/>
  </xdr:twoCellAnchor>
  <xdr:twoCellAnchor>
    <xdr:from>
      <xdr:col>12</xdr:col>
      <xdr:colOff>504074</xdr:colOff>
      <xdr:row>67</xdr:row>
      <xdr:rowOff>170007</xdr:rowOff>
    </xdr:from>
    <xdr:to>
      <xdr:col>13</xdr:col>
      <xdr:colOff>117835</xdr:colOff>
      <xdr:row>69</xdr:row>
      <xdr:rowOff>3753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F02B854E-AC14-489A-B376-42286631EDC7}"/>
            </a:ext>
          </a:extLst>
        </xdr:cNvPr>
        <xdr:cNvSpPr/>
      </xdr:nvSpPr>
      <xdr:spPr>
        <a:xfrm>
          <a:off x="16267785" y="14015626"/>
          <a:ext cx="222576" cy="42292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7</a:t>
          </a:r>
        </a:p>
      </xdr:txBody>
    </xdr:sp>
    <xdr:clientData/>
  </xdr:twoCellAnchor>
  <xdr:twoCellAnchor>
    <xdr:from>
      <xdr:col>12</xdr:col>
      <xdr:colOff>506012</xdr:colOff>
      <xdr:row>69</xdr:row>
      <xdr:rowOff>22225</xdr:rowOff>
    </xdr:from>
    <xdr:to>
      <xdr:col>13</xdr:col>
      <xdr:colOff>104742</xdr:colOff>
      <xdr:row>71</xdr:row>
      <xdr:rowOff>40699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D41346E2-A81D-4ABC-9228-60C6B28F2EA3}"/>
            </a:ext>
          </a:extLst>
        </xdr:cNvPr>
        <xdr:cNvSpPr/>
      </xdr:nvSpPr>
      <xdr:spPr>
        <a:xfrm flipH="1">
          <a:off x="16269723" y="14457019"/>
          <a:ext cx="207545" cy="38507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8</a:t>
          </a:r>
        </a:p>
      </xdr:txBody>
    </xdr:sp>
    <xdr:clientData/>
  </xdr:twoCellAnchor>
  <xdr:twoCellAnchor>
    <xdr:from>
      <xdr:col>12</xdr:col>
      <xdr:colOff>481619</xdr:colOff>
      <xdr:row>71</xdr:row>
      <xdr:rowOff>119992</xdr:rowOff>
    </xdr:from>
    <xdr:to>
      <xdr:col>13</xdr:col>
      <xdr:colOff>130928</xdr:colOff>
      <xdr:row>73</xdr:row>
      <xdr:rowOff>32731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B4B6F822-6C81-4260-9AFA-91942B71BF81}"/>
            </a:ext>
          </a:extLst>
        </xdr:cNvPr>
        <xdr:cNvSpPr/>
      </xdr:nvSpPr>
      <xdr:spPr>
        <a:xfrm>
          <a:off x="16245330" y="14921384"/>
          <a:ext cx="258124" cy="2793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9</a:t>
          </a:r>
        </a:p>
      </xdr:txBody>
    </xdr:sp>
    <xdr:clientData/>
  </xdr:twoCellAnchor>
  <xdr:twoCellAnchor>
    <xdr:from>
      <xdr:col>13</xdr:col>
      <xdr:colOff>597975</xdr:colOff>
      <xdr:row>68</xdr:row>
      <xdr:rowOff>33071</xdr:rowOff>
    </xdr:from>
    <xdr:to>
      <xdr:col>14</xdr:col>
      <xdr:colOff>424793</xdr:colOff>
      <xdr:row>69</xdr:row>
      <xdr:rowOff>56163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AF077B83-743D-4809-9C28-78D0F89B86C8}"/>
            </a:ext>
          </a:extLst>
        </xdr:cNvPr>
        <xdr:cNvSpPr/>
      </xdr:nvSpPr>
      <xdr:spPr>
        <a:xfrm>
          <a:off x="17000348" y="14293664"/>
          <a:ext cx="440292" cy="22758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20</a:t>
          </a:r>
        </a:p>
      </xdr:txBody>
    </xdr:sp>
    <xdr:clientData/>
  </xdr:twoCellAnchor>
  <xdr:twoCellAnchor>
    <xdr:from>
      <xdr:col>14</xdr:col>
      <xdr:colOff>535708</xdr:colOff>
      <xdr:row>68</xdr:row>
      <xdr:rowOff>36946</xdr:rowOff>
    </xdr:from>
    <xdr:to>
      <xdr:col>15</xdr:col>
      <xdr:colOff>362525</xdr:colOff>
      <xdr:row>69</xdr:row>
      <xdr:rowOff>60037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C38DAAC-9120-4166-9EA9-0E9D20105619}"/>
            </a:ext>
          </a:extLst>
        </xdr:cNvPr>
        <xdr:cNvSpPr/>
      </xdr:nvSpPr>
      <xdr:spPr>
        <a:xfrm>
          <a:off x="13755253" y="15288491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21</a:t>
          </a:r>
        </a:p>
      </xdr:txBody>
    </xdr:sp>
    <xdr:clientData/>
  </xdr:twoCellAnchor>
  <xdr:twoCellAnchor>
    <xdr:from>
      <xdr:col>20</xdr:col>
      <xdr:colOff>203943</xdr:colOff>
      <xdr:row>68</xdr:row>
      <xdr:rowOff>52774</xdr:rowOff>
    </xdr:from>
    <xdr:to>
      <xdr:col>21</xdr:col>
      <xdr:colOff>30760</xdr:colOff>
      <xdr:row>69</xdr:row>
      <xdr:rowOff>75865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2AE9870C-5E52-4FE1-AAE7-D72F0ADBABEA}"/>
            </a:ext>
          </a:extLst>
        </xdr:cNvPr>
        <xdr:cNvSpPr/>
      </xdr:nvSpPr>
      <xdr:spPr>
        <a:xfrm>
          <a:off x="21488202" y="14481385"/>
          <a:ext cx="438299" cy="2229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22</a:t>
          </a:r>
        </a:p>
      </xdr:txBody>
    </xdr:sp>
    <xdr:clientData/>
  </xdr:twoCellAnchor>
  <xdr:twoCellAnchor>
    <xdr:from>
      <xdr:col>13</xdr:col>
      <xdr:colOff>606689</xdr:colOff>
      <xdr:row>69</xdr:row>
      <xdr:rowOff>130018</xdr:rowOff>
    </xdr:from>
    <xdr:to>
      <xdr:col>14</xdr:col>
      <xdr:colOff>433507</xdr:colOff>
      <xdr:row>70</xdr:row>
      <xdr:rowOff>173109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14B745BA-86DC-402E-806B-3DBF42D7C112}"/>
            </a:ext>
          </a:extLst>
        </xdr:cNvPr>
        <xdr:cNvSpPr/>
      </xdr:nvSpPr>
      <xdr:spPr>
        <a:xfrm>
          <a:off x="17606689" y="14640018"/>
          <a:ext cx="436818" cy="22809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23</a:t>
          </a:r>
        </a:p>
      </xdr:txBody>
    </xdr:sp>
    <xdr:clientData/>
  </xdr:twoCellAnchor>
  <xdr:twoCellAnchor>
    <xdr:from>
      <xdr:col>19</xdr:col>
      <xdr:colOff>296812</xdr:colOff>
      <xdr:row>70</xdr:row>
      <xdr:rowOff>51622</xdr:rowOff>
    </xdr:from>
    <xdr:to>
      <xdr:col>20</xdr:col>
      <xdr:colOff>123630</xdr:colOff>
      <xdr:row>72</xdr:row>
      <xdr:rowOff>74714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81172A66-CB74-4DD5-AF3F-16B12D200DC8}"/>
            </a:ext>
          </a:extLst>
        </xdr:cNvPr>
        <xdr:cNvSpPr/>
      </xdr:nvSpPr>
      <xdr:spPr>
        <a:xfrm>
          <a:off x="20969590" y="14868289"/>
          <a:ext cx="438299" cy="39938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24</a:t>
          </a:r>
        </a:p>
      </xdr:txBody>
    </xdr:sp>
    <xdr:clientData/>
  </xdr:twoCellAnchor>
  <xdr:twoCellAnchor>
    <xdr:from>
      <xdr:col>19</xdr:col>
      <xdr:colOff>264891</xdr:colOff>
      <xdr:row>67</xdr:row>
      <xdr:rowOff>384656</xdr:rowOff>
    </xdr:from>
    <xdr:to>
      <xdr:col>20</xdr:col>
      <xdr:colOff>91710</xdr:colOff>
      <xdr:row>69</xdr:row>
      <xdr:rowOff>145277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7BACB1B5-5DBC-4120-B973-A07A182842A9}"/>
            </a:ext>
          </a:extLst>
        </xdr:cNvPr>
        <xdr:cNvSpPr/>
      </xdr:nvSpPr>
      <xdr:spPr>
        <a:xfrm>
          <a:off x="20937669" y="14425212"/>
          <a:ext cx="438300" cy="34858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28</a:t>
          </a:r>
        </a:p>
      </xdr:txBody>
    </xdr:sp>
    <xdr:clientData/>
  </xdr:twoCellAnchor>
  <xdr:twoCellAnchor>
    <xdr:from>
      <xdr:col>18</xdr:col>
      <xdr:colOff>311818</xdr:colOff>
      <xdr:row>68</xdr:row>
      <xdr:rowOff>48753</xdr:rowOff>
    </xdr:from>
    <xdr:to>
      <xdr:col>19</xdr:col>
      <xdr:colOff>138636</xdr:colOff>
      <xdr:row>69</xdr:row>
      <xdr:rowOff>71844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890B46D9-7DF8-4E78-A652-E035902CE887}"/>
            </a:ext>
          </a:extLst>
        </xdr:cNvPr>
        <xdr:cNvSpPr/>
      </xdr:nvSpPr>
      <xdr:spPr>
        <a:xfrm>
          <a:off x="20373114" y="14477364"/>
          <a:ext cx="438300" cy="2229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27</a:t>
          </a:r>
        </a:p>
      </xdr:txBody>
    </xdr:sp>
    <xdr:clientData/>
  </xdr:twoCellAnchor>
  <xdr:twoCellAnchor>
    <xdr:from>
      <xdr:col>17</xdr:col>
      <xdr:colOff>92363</xdr:colOff>
      <xdr:row>68</xdr:row>
      <xdr:rowOff>46182</xdr:rowOff>
    </xdr:from>
    <xdr:to>
      <xdr:col>17</xdr:col>
      <xdr:colOff>531090</xdr:colOff>
      <xdr:row>69</xdr:row>
      <xdr:rowOff>69273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88B5B5DE-F5F0-454B-BEB5-AFB15B965512}"/>
            </a:ext>
          </a:extLst>
        </xdr:cNvPr>
        <xdr:cNvSpPr/>
      </xdr:nvSpPr>
      <xdr:spPr>
        <a:xfrm>
          <a:off x="15147636" y="15297727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25</a:t>
          </a:r>
        </a:p>
      </xdr:txBody>
    </xdr:sp>
    <xdr:clientData/>
  </xdr:twoCellAnchor>
  <xdr:twoCellAnchor>
    <xdr:from>
      <xdr:col>17</xdr:col>
      <xdr:colOff>106219</xdr:colOff>
      <xdr:row>69</xdr:row>
      <xdr:rowOff>83128</xdr:rowOff>
    </xdr:from>
    <xdr:to>
      <xdr:col>17</xdr:col>
      <xdr:colOff>544946</xdr:colOff>
      <xdr:row>71</xdr:row>
      <xdr:rowOff>106220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AAEBBBAC-E3B2-4539-B618-7C15F023A21C}"/>
            </a:ext>
          </a:extLst>
        </xdr:cNvPr>
        <xdr:cNvSpPr/>
      </xdr:nvSpPr>
      <xdr:spPr>
        <a:xfrm>
          <a:off x="15161492" y="15727219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26</a:t>
          </a:r>
        </a:p>
      </xdr:txBody>
    </xdr:sp>
    <xdr:clientData/>
  </xdr:twoCellAnchor>
  <xdr:twoCellAnchor editAs="oneCell">
    <xdr:from>
      <xdr:col>24</xdr:col>
      <xdr:colOff>0</xdr:colOff>
      <xdr:row>86</xdr:row>
      <xdr:rowOff>0</xdr:rowOff>
    </xdr:from>
    <xdr:to>
      <xdr:col>24</xdr:col>
      <xdr:colOff>304800</xdr:colOff>
      <xdr:row>87</xdr:row>
      <xdr:rowOff>120652</xdr:rowOff>
    </xdr:to>
    <xdr:sp macro="" textlink="">
      <xdr:nvSpPr>
        <xdr:cNvPr id="2049" name="AutoShape 1" descr="blob:https://web.whatsapp.com/ed489ee8-b188-428a-b2ab-3ad76b8dd277">
          <a:extLst>
            <a:ext uri="{FF2B5EF4-FFF2-40B4-BE49-F238E27FC236}">
              <a16:creationId xmlns:a16="http://schemas.microsoft.com/office/drawing/2014/main" id="{5FE45497-C468-4C39-9D85-26AF24FA132E}"/>
            </a:ext>
          </a:extLst>
        </xdr:cNvPr>
        <xdr:cNvSpPr>
          <a:spLocks noChangeAspect="1" noChangeArrowheads="1"/>
        </xdr:cNvSpPr>
      </xdr:nvSpPr>
      <xdr:spPr bwMode="auto">
        <a:xfrm>
          <a:off x="19926300" y="17983200"/>
          <a:ext cx="304800" cy="304800"/>
        </a:xfrm>
        <a:prstGeom prst="rect">
          <a:avLst/>
        </a:prstGeom>
        <a:noFill/>
        <a:ln>
          <a:solidFill>
            <a:schemeClr val="tx1"/>
          </a:solidFill>
        </a:ln>
      </xdr:spPr>
    </xdr:sp>
    <xdr:clientData/>
  </xdr:twoCellAnchor>
  <xdr:twoCellAnchor editAs="oneCell">
    <xdr:from>
      <xdr:col>10</xdr:col>
      <xdr:colOff>498341</xdr:colOff>
      <xdr:row>77</xdr:row>
      <xdr:rowOff>167368</xdr:rowOff>
    </xdr:from>
    <xdr:to>
      <xdr:col>21</xdr:col>
      <xdr:colOff>553818</xdr:colOff>
      <xdr:row>91</xdr:row>
      <xdr:rowOff>167612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B1FCD8D5-7FCE-4934-8E26-64B1415CDA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9764" b="26062"/>
        <a:stretch/>
      </xdr:blipFill>
      <xdr:spPr>
        <a:xfrm flipH="1">
          <a:off x="15667785" y="16301072"/>
          <a:ext cx="6781774" cy="26447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366817</xdr:colOff>
      <xdr:row>97</xdr:row>
      <xdr:rowOff>2803</xdr:rowOff>
    </xdr:from>
    <xdr:to>
      <xdr:col>18</xdr:col>
      <xdr:colOff>45852</xdr:colOff>
      <xdr:row>99</xdr:row>
      <xdr:rowOff>215240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2B4F4A3C-2BF4-44FE-916B-7DA5E578153F}"/>
            </a:ext>
          </a:extLst>
        </xdr:cNvPr>
        <xdr:cNvSpPr/>
      </xdr:nvSpPr>
      <xdr:spPr>
        <a:xfrm>
          <a:off x="14799460" y="19424732"/>
          <a:ext cx="894606" cy="73857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10-19</a:t>
          </a:r>
        </a:p>
      </xdr:txBody>
    </xdr:sp>
    <xdr:clientData/>
  </xdr:twoCellAnchor>
  <xdr:twoCellAnchor>
    <xdr:from>
      <xdr:col>18</xdr:col>
      <xdr:colOff>74468</xdr:colOff>
      <xdr:row>97</xdr:row>
      <xdr:rowOff>179737</xdr:rowOff>
    </xdr:from>
    <xdr:to>
      <xdr:col>18</xdr:col>
      <xdr:colOff>513195</xdr:colOff>
      <xdr:row>99</xdr:row>
      <xdr:rowOff>58511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72B0F54F-9DAD-43AC-870D-3E41F64AC66C}"/>
            </a:ext>
          </a:extLst>
        </xdr:cNvPr>
        <xdr:cNvSpPr/>
      </xdr:nvSpPr>
      <xdr:spPr>
        <a:xfrm>
          <a:off x="15722682" y="19601666"/>
          <a:ext cx="438727" cy="40491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7</a:t>
          </a:r>
        </a:p>
      </xdr:txBody>
    </xdr:sp>
    <xdr:clientData/>
  </xdr:twoCellAnchor>
  <xdr:twoCellAnchor>
    <xdr:from>
      <xdr:col>18</xdr:col>
      <xdr:colOff>74302</xdr:colOff>
      <xdr:row>99</xdr:row>
      <xdr:rowOff>86056</xdr:rowOff>
    </xdr:from>
    <xdr:to>
      <xdr:col>18</xdr:col>
      <xdr:colOff>513029</xdr:colOff>
      <xdr:row>100</xdr:row>
      <xdr:rowOff>226086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F98F267B-616D-4E75-B9F9-89CF89CF06F8}"/>
            </a:ext>
          </a:extLst>
        </xdr:cNvPr>
        <xdr:cNvSpPr/>
      </xdr:nvSpPr>
      <xdr:spPr>
        <a:xfrm>
          <a:off x="15722516" y="20034127"/>
          <a:ext cx="438727" cy="40310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8</a:t>
          </a:r>
        </a:p>
      </xdr:txBody>
    </xdr:sp>
    <xdr:clientData/>
  </xdr:twoCellAnchor>
  <xdr:twoCellAnchor>
    <xdr:from>
      <xdr:col>18</xdr:col>
      <xdr:colOff>101354</xdr:colOff>
      <xdr:row>101</xdr:row>
      <xdr:rowOff>4576</xdr:rowOff>
    </xdr:from>
    <xdr:to>
      <xdr:col>18</xdr:col>
      <xdr:colOff>540081</xdr:colOff>
      <xdr:row>102</xdr:row>
      <xdr:rowOff>140977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D69699EE-5C7F-4A3C-96A8-5478C27C7E47}"/>
            </a:ext>
          </a:extLst>
        </xdr:cNvPr>
        <xdr:cNvSpPr/>
      </xdr:nvSpPr>
      <xdr:spPr>
        <a:xfrm>
          <a:off x="15749568" y="20478790"/>
          <a:ext cx="438727" cy="39947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9</a:t>
          </a:r>
        </a:p>
      </xdr:txBody>
    </xdr:sp>
    <xdr:clientData/>
  </xdr:twoCellAnchor>
  <xdr:twoCellAnchor>
    <xdr:from>
      <xdr:col>18</xdr:col>
      <xdr:colOff>562428</xdr:colOff>
      <xdr:row>97</xdr:row>
      <xdr:rowOff>181428</xdr:rowOff>
    </xdr:from>
    <xdr:to>
      <xdr:col>19</xdr:col>
      <xdr:colOff>389246</xdr:colOff>
      <xdr:row>99</xdr:row>
      <xdr:rowOff>64326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9765579-8B0E-4E7B-AAB3-17A43357E5E5}"/>
            </a:ext>
          </a:extLst>
        </xdr:cNvPr>
        <xdr:cNvSpPr/>
      </xdr:nvSpPr>
      <xdr:spPr>
        <a:xfrm>
          <a:off x="16210642" y="19603357"/>
          <a:ext cx="434604" cy="40904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1</a:t>
          </a:r>
        </a:p>
      </xdr:txBody>
    </xdr:sp>
    <xdr:clientData/>
  </xdr:twoCellAnchor>
  <xdr:twoCellAnchor>
    <xdr:from>
      <xdr:col>17</xdr:col>
      <xdr:colOff>136072</xdr:colOff>
      <xdr:row>102</xdr:row>
      <xdr:rowOff>90714</xdr:rowOff>
    </xdr:from>
    <xdr:to>
      <xdr:col>17</xdr:col>
      <xdr:colOff>570675</xdr:colOff>
      <xdr:row>104</xdr:row>
      <xdr:rowOff>136899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4F92769D-85C4-4EBA-8493-512929A2284E}"/>
            </a:ext>
          </a:extLst>
        </xdr:cNvPr>
        <xdr:cNvSpPr/>
      </xdr:nvSpPr>
      <xdr:spPr>
        <a:xfrm>
          <a:off x="19548929" y="19802928"/>
          <a:ext cx="434603" cy="4090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33</a:t>
          </a:r>
        </a:p>
      </xdr:txBody>
    </xdr:sp>
    <xdr:clientData/>
  </xdr:twoCellAnchor>
  <xdr:twoCellAnchor>
    <xdr:from>
      <xdr:col>14</xdr:col>
      <xdr:colOff>599866</xdr:colOff>
      <xdr:row>97</xdr:row>
      <xdr:rowOff>109353</xdr:rowOff>
    </xdr:from>
    <xdr:to>
      <xdr:col>15</xdr:col>
      <xdr:colOff>430807</xdr:colOff>
      <xdr:row>98</xdr:row>
      <xdr:rowOff>256971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E60F6AEF-C14D-4EBD-A1E0-65F24B52CE83}"/>
            </a:ext>
          </a:extLst>
        </xdr:cNvPr>
        <xdr:cNvSpPr/>
      </xdr:nvSpPr>
      <xdr:spPr>
        <a:xfrm>
          <a:off x="18189366" y="18669496"/>
          <a:ext cx="438727" cy="41068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21</a:t>
          </a:r>
        </a:p>
      </xdr:txBody>
    </xdr:sp>
    <xdr:clientData/>
  </xdr:twoCellAnchor>
  <xdr:twoCellAnchor>
    <xdr:from>
      <xdr:col>14</xdr:col>
      <xdr:colOff>78508</xdr:colOff>
      <xdr:row>97</xdr:row>
      <xdr:rowOff>104240</xdr:rowOff>
    </xdr:from>
    <xdr:to>
      <xdr:col>14</xdr:col>
      <xdr:colOff>513111</xdr:colOff>
      <xdr:row>98</xdr:row>
      <xdr:rowOff>251858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D603FBD9-1AB7-4AB8-B891-9EE769CC50C3}"/>
            </a:ext>
          </a:extLst>
        </xdr:cNvPr>
        <xdr:cNvSpPr/>
      </xdr:nvSpPr>
      <xdr:spPr>
        <a:xfrm>
          <a:off x="17668008" y="18664383"/>
          <a:ext cx="434603" cy="41068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22</a:t>
          </a:r>
        </a:p>
      </xdr:txBody>
    </xdr:sp>
    <xdr:clientData/>
  </xdr:twoCellAnchor>
  <xdr:twoCellAnchor>
    <xdr:from>
      <xdr:col>17</xdr:col>
      <xdr:colOff>110506</xdr:colOff>
      <xdr:row>99</xdr:row>
      <xdr:rowOff>240145</xdr:rowOff>
    </xdr:from>
    <xdr:to>
      <xdr:col>17</xdr:col>
      <xdr:colOff>545110</xdr:colOff>
      <xdr:row>102</xdr:row>
      <xdr:rowOff>27379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5067516C-E594-4EB0-999A-32473F80266D}"/>
            </a:ext>
          </a:extLst>
        </xdr:cNvPr>
        <xdr:cNvSpPr/>
      </xdr:nvSpPr>
      <xdr:spPr>
        <a:xfrm>
          <a:off x="19523363" y="19326431"/>
          <a:ext cx="434604" cy="41316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23</a:t>
          </a:r>
        </a:p>
      </xdr:txBody>
    </xdr:sp>
    <xdr:clientData/>
  </xdr:twoCellAnchor>
  <xdr:twoCellAnchor>
    <xdr:from>
      <xdr:col>13</xdr:col>
      <xdr:colOff>135907</xdr:colOff>
      <xdr:row>97</xdr:row>
      <xdr:rowOff>99786</xdr:rowOff>
    </xdr:from>
    <xdr:to>
      <xdr:col>13</xdr:col>
      <xdr:colOff>570511</xdr:colOff>
      <xdr:row>98</xdr:row>
      <xdr:rowOff>249877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F8924CFF-9CE2-4D68-9C5B-A148872FAAF5}"/>
            </a:ext>
          </a:extLst>
        </xdr:cNvPr>
        <xdr:cNvSpPr/>
      </xdr:nvSpPr>
      <xdr:spPr>
        <a:xfrm>
          <a:off x="17117621" y="18659929"/>
          <a:ext cx="434604" cy="41316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24</a:t>
          </a:r>
        </a:p>
      </xdr:txBody>
    </xdr:sp>
    <xdr:clientData/>
  </xdr:twoCellAnchor>
  <xdr:twoCellAnchor>
    <xdr:from>
      <xdr:col>21</xdr:col>
      <xdr:colOff>101600</xdr:colOff>
      <xdr:row>97</xdr:row>
      <xdr:rowOff>41893</xdr:rowOff>
    </xdr:from>
    <xdr:to>
      <xdr:col>21</xdr:col>
      <xdr:colOff>402276</xdr:colOff>
      <xdr:row>98</xdr:row>
      <xdr:rowOff>191984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C86E7015-19A9-4CC4-95B4-BC7124602597}"/>
            </a:ext>
          </a:extLst>
        </xdr:cNvPr>
        <xdr:cNvSpPr/>
      </xdr:nvSpPr>
      <xdr:spPr>
        <a:xfrm>
          <a:off x="21945600" y="18602036"/>
          <a:ext cx="300676" cy="41316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25</a:t>
          </a:r>
        </a:p>
      </xdr:txBody>
    </xdr:sp>
    <xdr:clientData/>
  </xdr:twoCellAnchor>
  <xdr:twoCellAnchor>
    <xdr:from>
      <xdr:col>21</xdr:col>
      <xdr:colOff>102757</xdr:colOff>
      <xdr:row>99</xdr:row>
      <xdr:rowOff>33481</xdr:rowOff>
    </xdr:from>
    <xdr:to>
      <xdr:col>21</xdr:col>
      <xdr:colOff>416133</xdr:colOff>
      <xdr:row>100</xdr:row>
      <xdr:rowOff>181099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2CEAD4FC-1CCF-4B0D-B3CD-83EB430CDB00}"/>
            </a:ext>
          </a:extLst>
        </xdr:cNvPr>
        <xdr:cNvSpPr/>
      </xdr:nvSpPr>
      <xdr:spPr>
        <a:xfrm>
          <a:off x="21946757" y="19119767"/>
          <a:ext cx="313376" cy="41068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26</a:t>
          </a:r>
        </a:p>
      </xdr:txBody>
    </xdr:sp>
    <xdr:clientData/>
  </xdr:twoCellAnchor>
  <xdr:twoCellAnchor>
    <xdr:from>
      <xdr:col>12</xdr:col>
      <xdr:colOff>120073</xdr:colOff>
      <xdr:row>97</xdr:row>
      <xdr:rowOff>85435</xdr:rowOff>
    </xdr:from>
    <xdr:to>
      <xdr:col>12</xdr:col>
      <xdr:colOff>558800</xdr:colOff>
      <xdr:row>98</xdr:row>
      <xdr:rowOff>235526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392CAB6C-CC39-40BD-9D1F-FDFD8AA6DA15}"/>
            </a:ext>
          </a:extLst>
        </xdr:cNvPr>
        <xdr:cNvSpPr/>
      </xdr:nvSpPr>
      <xdr:spPr>
        <a:xfrm>
          <a:off x="11296073" y="19851253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31</a:t>
          </a:r>
        </a:p>
      </xdr:txBody>
    </xdr:sp>
    <xdr:clientData/>
  </xdr:twoCellAnchor>
  <xdr:twoCellAnchor>
    <xdr:from>
      <xdr:col>12</xdr:col>
      <xdr:colOff>734291</xdr:colOff>
      <xdr:row>97</xdr:row>
      <xdr:rowOff>99291</xdr:rowOff>
    </xdr:from>
    <xdr:to>
      <xdr:col>12</xdr:col>
      <xdr:colOff>1173018</xdr:colOff>
      <xdr:row>98</xdr:row>
      <xdr:rowOff>249382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2F626457-9B94-42CB-98FE-61E9A5B178C7}"/>
            </a:ext>
          </a:extLst>
        </xdr:cNvPr>
        <xdr:cNvSpPr/>
      </xdr:nvSpPr>
      <xdr:spPr>
        <a:xfrm>
          <a:off x="11910291" y="19865109"/>
          <a:ext cx="438727" cy="41563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32</a:t>
          </a:r>
        </a:p>
      </xdr:txBody>
    </xdr:sp>
    <xdr:clientData/>
  </xdr:twoCellAnchor>
  <xdr:twoCellAnchor>
    <xdr:from>
      <xdr:col>12</xdr:col>
      <xdr:colOff>584200</xdr:colOff>
      <xdr:row>3</xdr:row>
      <xdr:rowOff>0</xdr:rowOff>
    </xdr:from>
    <xdr:to>
      <xdr:col>15</xdr:col>
      <xdr:colOff>406400</xdr:colOff>
      <xdr:row>5</xdr:row>
      <xdr:rowOff>177800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AA31DD6-8181-4B5C-AECC-271766754AFE}"/>
            </a:ext>
          </a:extLst>
        </xdr:cNvPr>
        <xdr:cNvSpPr txBox="1"/>
      </xdr:nvSpPr>
      <xdr:spPr>
        <a:xfrm>
          <a:off x="11785600" y="1778000"/>
          <a:ext cx="2463800" cy="76200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000" b="1">
              <a:latin typeface="+mn-lt"/>
              <a:ea typeface="Malgun Gothic" panose="020B0503020000020004" pitchFamily="34" charset="-127"/>
            </a:rPr>
            <a:t>Tampak Atas</a:t>
          </a:r>
        </a:p>
      </xdr:txBody>
    </xdr:sp>
    <xdr:clientData/>
  </xdr:twoCellAnchor>
  <xdr:twoCellAnchor>
    <xdr:from>
      <xdr:col>15</xdr:col>
      <xdr:colOff>595823</xdr:colOff>
      <xdr:row>53</xdr:row>
      <xdr:rowOff>281015</xdr:rowOff>
    </xdr:from>
    <xdr:to>
      <xdr:col>20</xdr:col>
      <xdr:colOff>7749</xdr:colOff>
      <xdr:row>56</xdr:row>
      <xdr:rowOff>224725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5B9CA1A-69D7-4AD8-855F-5F96ED8F1D43}"/>
            </a:ext>
          </a:extLst>
        </xdr:cNvPr>
        <xdr:cNvSpPr txBox="1"/>
      </xdr:nvSpPr>
      <xdr:spPr>
        <a:xfrm>
          <a:off x="18838620" y="10989913"/>
          <a:ext cx="2479298" cy="740151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000" b="1">
              <a:latin typeface="+mn-lt"/>
              <a:ea typeface="Malgun Gothic" panose="020B0503020000020004" pitchFamily="34" charset="-127"/>
            </a:rPr>
            <a:t>Tampak Kiri</a:t>
          </a:r>
        </a:p>
      </xdr:txBody>
    </xdr:sp>
    <xdr:clientData/>
  </xdr:twoCellAnchor>
  <xdr:twoCellAnchor>
    <xdr:from>
      <xdr:col>16</xdr:col>
      <xdr:colOff>177800</xdr:colOff>
      <xdr:row>74</xdr:row>
      <xdr:rowOff>7527</xdr:rowOff>
    </xdr:from>
    <xdr:to>
      <xdr:col>20</xdr:col>
      <xdr:colOff>203200</xdr:colOff>
      <xdr:row>77</xdr:row>
      <xdr:rowOff>94074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4BD1506A-706F-4A7D-B434-0DDFEF49E487}"/>
            </a:ext>
          </a:extLst>
        </xdr:cNvPr>
        <xdr:cNvSpPr txBox="1"/>
      </xdr:nvSpPr>
      <xdr:spPr>
        <a:xfrm>
          <a:off x="19016133" y="15576786"/>
          <a:ext cx="2471326" cy="650992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000" b="1">
              <a:latin typeface="Malgun Gothic" panose="020B0503020000020004" pitchFamily="34" charset="-127"/>
              <a:ea typeface="Malgun Gothic" panose="020B0503020000020004" pitchFamily="34" charset="-127"/>
            </a:rPr>
            <a:t>Tampak Kanan</a:t>
          </a:r>
        </a:p>
      </xdr:txBody>
    </xdr:sp>
    <xdr:clientData/>
  </xdr:twoCellAnchor>
  <xdr:twoCellAnchor>
    <xdr:from>
      <xdr:col>11</xdr:col>
      <xdr:colOff>593696</xdr:colOff>
      <xdr:row>53</xdr:row>
      <xdr:rowOff>306746</xdr:rowOff>
    </xdr:from>
    <xdr:to>
      <xdr:col>14</xdr:col>
      <xdr:colOff>549246</xdr:colOff>
      <xdr:row>56</xdr:row>
      <xdr:rowOff>204902</xdr:rowOff>
    </xdr:to>
    <xdr:sp macro="" textlink="">
      <xdr:nvSpPr>
        <xdr:cNvPr id="151" name="Arrow: Up 150">
          <a:extLst>
            <a:ext uri="{FF2B5EF4-FFF2-40B4-BE49-F238E27FC236}">
              <a16:creationId xmlns:a16="http://schemas.microsoft.com/office/drawing/2014/main" id="{833D8BF8-5A05-4DFF-99AE-E7D6B043B896}"/>
            </a:ext>
          </a:extLst>
        </xdr:cNvPr>
        <xdr:cNvSpPr/>
      </xdr:nvSpPr>
      <xdr:spPr>
        <a:xfrm rot="16200000">
          <a:off x="16933282" y="10464956"/>
          <a:ext cx="694597" cy="1795974"/>
        </a:xfrm>
        <a:prstGeom prst="up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800"/>
        </a:p>
      </xdr:txBody>
    </xdr:sp>
    <xdr:clientData/>
  </xdr:twoCellAnchor>
  <xdr:twoCellAnchor>
    <xdr:from>
      <xdr:col>12</xdr:col>
      <xdr:colOff>392112</xdr:colOff>
      <xdr:row>74</xdr:row>
      <xdr:rowOff>41451</xdr:rowOff>
    </xdr:from>
    <xdr:to>
      <xdr:col>15</xdr:col>
      <xdr:colOff>347662</xdr:colOff>
      <xdr:row>77</xdr:row>
      <xdr:rowOff>48624</xdr:rowOff>
    </xdr:to>
    <xdr:sp macro="" textlink="">
      <xdr:nvSpPr>
        <xdr:cNvPr id="152" name="Arrow: Up 151">
          <a:extLst>
            <a:ext uri="{FF2B5EF4-FFF2-40B4-BE49-F238E27FC236}">
              <a16:creationId xmlns:a16="http://schemas.microsoft.com/office/drawing/2014/main" id="{578EC06B-A685-454C-8595-58A3B599837C}"/>
            </a:ext>
          </a:extLst>
        </xdr:cNvPr>
        <xdr:cNvSpPr/>
      </xdr:nvSpPr>
      <xdr:spPr>
        <a:xfrm rot="5400000">
          <a:off x="17393708" y="15001521"/>
          <a:ext cx="571618" cy="1789995"/>
        </a:xfrm>
        <a:prstGeom prst="up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800"/>
        </a:p>
      </xdr:txBody>
    </xdr:sp>
    <xdr:clientData/>
  </xdr:twoCellAnchor>
  <xdr:twoCellAnchor>
    <xdr:from>
      <xdr:col>12</xdr:col>
      <xdr:colOff>538135</xdr:colOff>
      <xdr:row>7</xdr:row>
      <xdr:rowOff>86102</xdr:rowOff>
    </xdr:from>
    <xdr:to>
      <xdr:col>13</xdr:col>
      <xdr:colOff>363388</xdr:colOff>
      <xdr:row>9</xdr:row>
      <xdr:rowOff>17407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B3FBAFE-1685-49B7-BCF4-3766D4482CCF}"/>
            </a:ext>
          </a:extLst>
        </xdr:cNvPr>
        <xdr:cNvSpPr/>
      </xdr:nvSpPr>
      <xdr:spPr>
        <a:xfrm>
          <a:off x="16940508" y="1668221"/>
          <a:ext cx="438727" cy="3618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2</a:t>
          </a:r>
        </a:p>
      </xdr:txBody>
    </xdr:sp>
    <xdr:clientData/>
  </xdr:twoCellAnchor>
  <xdr:twoCellAnchor>
    <xdr:from>
      <xdr:col>19</xdr:col>
      <xdr:colOff>507999</xdr:colOff>
      <xdr:row>97</xdr:row>
      <xdr:rowOff>145143</xdr:rowOff>
    </xdr:from>
    <xdr:to>
      <xdr:col>20</xdr:col>
      <xdr:colOff>338941</xdr:colOff>
      <xdr:row>98</xdr:row>
      <xdr:rowOff>237889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73AFCED-AD42-40E6-A4B4-1B62C831BD85}"/>
            </a:ext>
          </a:extLst>
        </xdr:cNvPr>
        <xdr:cNvSpPr/>
      </xdr:nvSpPr>
      <xdr:spPr>
        <a:xfrm>
          <a:off x="21136428" y="18705286"/>
          <a:ext cx="438727" cy="35581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tx1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H89"/>
  <sheetViews>
    <sheetView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6328125" defaultRowHeight="14.5" x14ac:dyDescent="0.35"/>
  <cols>
    <col min="1" max="1" width="9.1796875" style="1" customWidth="1"/>
    <col min="2" max="2" width="28.26953125" customWidth="1"/>
    <col min="3" max="3" width="22.81640625" customWidth="1"/>
    <col min="4" max="4" width="11" customWidth="1"/>
    <col min="5" max="5" width="17" customWidth="1"/>
    <col min="6" max="6" width="40.453125" customWidth="1"/>
    <col min="7" max="7" width="12.453125" customWidth="1"/>
    <col min="8" max="8" width="14.1796875" customWidth="1"/>
  </cols>
  <sheetData>
    <row r="2" spans="1:8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</row>
    <row r="3" spans="1:8" x14ac:dyDescent="0.35">
      <c r="A3" s="6">
        <v>1</v>
      </c>
      <c r="B3" s="7" t="s">
        <v>8</v>
      </c>
      <c r="C3" s="8" t="s">
        <v>9</v>
      </c>
      <c r="D3" s="9" t="s">
        <v>10</v>
      </c>
      <c r="E3" s="8" t="s">
        <v>11</v>
      </c>
      <c r="F3" s="9" t="s">
        <v>12</v>
      </c>
      <c r="G3" s="10">
        <v>43518</v>
      </c>
      <c r="H3" s="11" t="str">
        <f t="shared" ref="H3:H34" ca="1" si="0">DATEDIF(G3,TODAY(),"Y")&amp;" Year "&amp;DATEDIF(G3,TODAY(),"YM")&amp;" Month"</f>
        <v>7 Year 6 Month</v>
      </c>
    </row>
    <row r="4" spans="1:8" hidden="1" x14ac:dyDescent="0.35">
      <c r="A4" s="6">
        <f t="shared" ref="A4:A35" si="1">A3+1</f>
        <v>2</v>
      </c>
      <c r="B4" s="12" t="s">
        <v>13</v>
      </c>
      <c r="C4" s="8" t="s">
        <v>14</v>
      </c>
      <c r="D4" s="9" t="s">
        <v>15</v>
      </c>
      <c r="E4" s="8" t="s">
        <v>11</v>
      </c>
      <c r="F4" s="9" t="s">
        <v>16</v>
      </c>
      <c r="G4" s="10">
        <v>44161</v>
      </c>
      <c r="H4" s="11" t="str">
        <f t="shared" ca="1" si="0"/>
        <v>5 Year 9 Month</v>
      </c>
    </row>
    <row r="5" spans="1:8" hidden="1" x14ac:dyDescent="0.35">
      <c r="A5" s="6">
        <f t="shared" si="1"/>
        <v>3</v>
      </c>
      <c r="B5" s="7" t="s">
        <v>17</v>
      </c>
      <c r="C5" s="8" t="s">
        <v>14</v>
      </c>
      <c r="D5" s="9" t="s">
        <v>18</v>
      </c>
      <c r="E5" s="8" t="s">
        <v>11</v>
      </c>
      <c r="F5" s="9" t="s">
        <v>19</v>
      </c>
      <c r="G5" s="10">
        <v>44448</v>
      </c>
      <c r="H5" s="11" t="str">
        <f t="shared" ca="1" si="0"/>
        <v>4 Year 11 Month</v>
      </c>
    </row>
    <row r="6" spans="1:8" hidden="1" x14ac:dyDescent="0.35">
      <c r="A6" s="6">
        <f t="shared" si="1"/>
        <v>4</v>
      </c>
      <c r="B6" s="7" t="s">
        <v>20</v>
      </c>
      <c r="C6" s="8" t="s">
        <v>14</v>
      </c>
      <c r="D6" s="9" t="s">
        <v>18</v>
      </c>
      <c r="E6" s="8" t="s">
        <v>11</v>
      </c>
      <c r="F6" s="9" t="s">
        <v>21</v>
      </c>
      <c r="G6" s="10">
        <v>44577</v>
      </c>
      <c r="H6" s="11" t="str">
        <f t="shared" ca="1" si="0"/>
        <v>4 Year 7 Month</v>
      </c>
    </row>
    <row r="7" spans="1:8" hidden="1" x14ac:dyDescent="0.35">
      <c r="A7" s="6">
        <f t="shared" si="1"/>
        <v>5</v>
      </c>
      <c r="B7" s="7" t="s">
        <v>22</v>
      </c>
      <c r="C7" s="8" t="s">
        <v>14</v>
      </c>
      <c r="D7" s="9" t="s">
        <v>18</v>
      </c>
      <c r="E7" s="8" t="s">
        <v>11</v>
      </c>
      <c r="F7" s="9" t="s">
        <v>21</v>
      </c>
      <c r="G7" s="10">
        <v>44589</v>
      </c>
      <c r="H7" s="11" t="str">
        <f t="shared" ca="1" si="0"/>
        <v>4 Year 7 Month</v>
      </c>
    </row>
    <row r="8" spans="1:8" x14ac:dyDescent="0.35">
      <c r="A8" s="6">
        <f t="shared" si="1"/>
        <v>6</v>
      </c>
      <c r="B8" s="7" t="s">
        <v>23</v>
      </c>
      <c r="C8" s="8" t="s">
        <v>9</v>
      </c>
      <c r="D8" s="9" t="s">
        <v>24</v>
      </c>
      <c r="E8" s="8" t="s">
        <v>25</v>
      </c>
      <c r="F8" s="9" t="s">
        <v>26</v>
      </c>
      <c r="G8" s="10">
        <v>44690</v>
      </c>
      <c r="H8" s="11" t="str">
        <f t="shared" ca="1" si="0"/>
        <v>4 Year 3 Month</v>
      </c>
    </row>
    <row r="9" spans="1:8" hidden="1" x14ac:dyDescent="0.35">
      <c r="A9" s="6">
        <f t="shared" si="1"/>
        <v>7</v>
      </c>
      <c r="B9" s="7" t="s">
        <v>27</v>
      </c>
      <c r="C9" s="8" t="s">
        <v>14</v>
      </c>
      <c r="D9" s="9" t="s">
        <v>15</v>
      </c>
      <c r="E9" s="8" t="s">
        <v>11</v>
      </c>
      <c r="F9" s="9" t="s">
        <v>28</v>
      </c>
      <c r="G9" s="10">
        <v>44757</v>
      </c>
      <c r="H9" s="11" t="str">
        <f t="shared" ca="1" si="0"/>
        <v>4 Year 1 Month</v>
      </c>
    </row>
    <row r="10" spans="1:8" x14ac:dyDescent="0.35">
      <c r="A10" s="6">
        <f t="shared" si="1"/>
        <v>8</v>
      </c>
      <c r="B10" s="7" t="s">
        <v>29</v>
      </c>
      <c r="C10" s="8" t="s">
        <v>9</v>
      </c>
      <c r="D10" s="9" t="s">
        <v>30</v>
      </c>
      <c r="E10" s="8" t="s">
        <v>11</v>
      </c>
      <c r="F10" s="9" t="s">
        <v>12</v>
      </c>
      <c r="G10" s="10">
        <v>44810</v>
      </c>
      <c r="H10" s="11" t="str">
        <f t="shared" ca="1" si="0"/>
        <v>3 Year 11 Month</v>
      </c>
    </row>
    <row r="11" spans="1:8" x14ac:dyDescent="0.35">
      <c r="A11" s="6">
        <f t="shared" si="1"/>
        <v>9</v>
      </c>
      <c r="B11" s="7" t="s">
        <v>31</v>
      </c>
      <c r="C11" s="8" t="s">
        <v>9</v>
      </c>
      <c r="D11" s="9" t="s">
        <v>30</v>
      </c>
      <c r="E11" s="8" t="s">
        <v>11</v>
      </c>
      <c r="F11" s="9" t="s">
        <v>32</v>
      </c>
      <c r="G11" s="10">
        <v>44812</v>
      </c>
      <c r="H11" s="11" t="str">
        <f t="shared" ca="1" si="0"/>
        <v>3 Year 11 Month</v>
      </c>
    </row>
    <row r="12" spans="1:8" x14ac:dyDescent="0.35">
      <c r="A12" s="6">
        <f t="shared" si="1"/>
        <v>10</v>
      </c>
      <c r="B12" s="7" t="s">
        <v>33</v>
      </c>
      <c r="C12" s="8" t="s">
        <v>9</v>
      </c>
      <c r="D12" s="9" t="s">
        <v>10</v>
      </c>
      <c r="E12" s="8" t="s">
        <v>11</v>
      </c>
      <c r="F12" s="9" t="s">
        <v>32</v>
      </c>
      <c r="G12" s="10">
        <v>44877</v>
      </c>
      <c r="H12" s="11" t="str">
        <f t="shared" ca="1" si="0"/>
        <v>3 Year 9 Month</v>
      </c>
    </row>
    <row r="13" spans="1:8" hidden="1" x14ac:dyDescent="0.35">
      <c r="A13" s="6">
        <f t="shared" si="1"/>
        <v>11</v>
      </c>
      <c r="B13" s="7" t="s">
        <v>34</v>
      </c>
      <c r="C13" s="8" t="s">
        <v>14</v>
      </c>
      <c r="D13" s="9" t="s">
        <v>18</v>
      </c>
      <c r="E13" s="8" t="s">
        <v>11</v>
      </c>
      <c r="F13" s="9" t="s">
        <v>28</v>
      </c>
      <c r="G13" s="10">
        <v>44877</v>
      </c>
      <c r="H13" s="11" t="str">
        <f t="shared" ca="1" si="0"/>
        <v>3 Year 9 Month</v>
      </c>
    </row>
    <row r="14" spans="1:8" x14ac:dyDescent="0.35">
      <c r="A14" s="6">
        <f t="shared" si="1"/>
        <v>12</v>
      </c>
      <c r="B14" s="7" t="s">
        <v>35</v>
      </c>
      <c r="C14" s="8" t="s">
        <v>9</v>
      </c>
      <c r="D14" s="9" t="s">
        <v>10</v>
      </c>
      <c r="E14" s="8" t="s">
        <v>11</v>
      </c>
      <c r="F14" s="9" t="s">
        <v>12</v>
      </c>
      <c r="G14" s="10">
        <v>44886</v>
      </c>
      <c r="H14" s="11" t="str">
        <f t="shared" ca="1" si="0"/>
        <v>3 Year 9 Month</v>
      </c>
    </row>
    <row r="15" spans="1:8" x14ac:dyDescent="0.35">
      <c r="A15" s="6">
        <f t="shared" si="1"/>
        <v>13</v>
      </c>
      <c r="B15" s="7" t="s">
        <v>36</v>
      </c>
      <c r="C15" s="8" t="s">
        <v>9</v>
      </c>
      <c r="D15" s="9" t="s">
        <v>10</v>
      </c>
      <c r="E15" s="8" t="s">
        <v>25</v>
      </c>
      <c r="F15" s="9" t="s">
        <v>19</v>
      </c>
      <c r="G15" s="10">
        <v>44938</v>
      </c>
      <c r="H15" s="11" t="str">
        <f t="shared" ca="1" si="0"/>
        <v>3 Year 7 Month</v>
      </c>
    </row>
    <row r="16" spans="1:8" hidden="1" x14ac:dyDescent="0.35">
      <c r="A16" s="6">
        <f t="shared" si="1"/>
        <v>14</v>
      </c>
      <c r="B16" s="7" t="s">
        <v>37</v>
      </c>
      <c r="C16" s="8" t="s">
        <v>14</v>
      </c>
      <c r="D16" s="9" t="s">
        <v>18</v>
      </c>
      <c r="E16" s="8" t="s">
        <v>11</v>
      </c>
      <c r="F16" s="9" t="s">
        <v>28</v>
      </c>
      <c r="G16" s="10">
        <v>44940</v>
      </c>
      <c r="H16" s="11" t="str">
        <f t="shared" ca="1" si="0"/>
        <v>3 Year 7 Month</v>
      </c>
    </row>
    <row r="17" spans="1:8" hidden="1" x14ac:dyDescent="0.35">
      <c r="A17" s="6">
        <f t="shared" si="1"/>
        <v>15</v>
      </c>
      <c r="B17" s="7" t="s">
        <v>38</v>
      </c>
      <c r="C17" s="8" t="s">
        <v>14</v>
      </c>
      <c r="D17" s="9" t="s">
        <v>18</v>
      </c>
      <c r="E17" s="8" t="s">
        <v>11</v>
      </c>
      <c r="F17" s="9" t="s">
        <v>39</v>
      </c>
      <c r="G17" s="10">
        <v>44944</v>
      </c>
      <c r="H17" s="11" t="str">
        <f t="shared" ca="1" si="0"/>
        <v>3 Year 7 Month</v>
      </c>
    </row>
    <row r="18" spans="1:8" x14ac:dyDescent="0.35">
      <c r="A18" s="6">
        <f t="shared" si="1"/>
        <v>16</v>
      </c>
      <c r="B18" s="7" t="s">
        <v>40</v>
      </c>
      <c r="C18" s="8" t="s">
        <v>9</v>
      </c>
      <c r="D18" s="9" t="s">
        <v>10</v>
      </c>
      <c r="E18" s="8" t="s">
        <v>11</v>
      </c>
      <c r="F18" s="9" t="s">
        <v>12</v>
      </c>
      <c r="G18" s="10">
        <v>45024</v>
      </c>
      <c r="H18" s="11" t="str">
        <f t="shared" ca="1" si="0"/>
        <v>3 Year 4 Month</v>
      </c>
    </row>
    <row r="19" spans="1:8" hidden="1" x14ac:dyDescent="0.35">
      <c r="A19" s="6">
        <f t="shared" si="1"/>
        <v>17</v>
      </c>
      <c r="B19" s="7" t="s">
        <v>41</v>
      </c>
      <c r="C19" s="8" t="s">
        <v>14</v>
      </c>
      <c r="D19" s="9" t="s">
        <v>18</v>
      </c>
      <c r="E19" s="8" t="s">
        <v>11</v>
      </c>
      <c r="F19" s="9" t="s">
        <v>39</v>
      </c>
      <c r="G19" s="10">
        <v>45063</v>
      </c>
      <c r="H19" s="11" t="str">
        <f t="shared" ca="1" si="0"/>
        <v>3 Year 3 Month</v>
      </c>
    </row>
    <row r="20" spans="1:8" x14ac:dyDescent="0.35">
      <c r="A20" s="6">
        <f t="shared" si="1"/>
        <v>18</v>
      </c>
      <c r="B20" s="7" t="s">
        <v>42</v>
      </c>
      <c r="C20" s="8" t="s">
        <v>9</v>
      </c>
      <c r="D20" s="9" t="s">
        <v>10</v>
      </c>
      <c r="E20" s="8" t="s">
        <v>11</v>
      </c>
      <c r="F20" s="9" t="s">
        <v>12</v>
      </c>
      <c r="G20" s="10">
        <v>45132</v>
      </c>
      <c r="H20" s="11" t="str">
        <f t="shared" ca="1" si="0"/>
        <v>3 Year 1 Month</v>
      </c>
    </row>
    <row r="21" spans="1:8" hidden="1" x14ac:dyDescent="0.35">
      <c r="A21" s="6">
        <f t="shared" si="1"/>
        <v>19</v>
      </c>
      <c r="B21" s="7" t="s">
        <v>43</v>
      </c>
      <c r="C21" s="8" t="s">
        <v>14</v>
      </c>
      <c r="D21" s="9" t="s">
        <v>15</v>
      </c>
      <c r="E21" s="8" t="s">
        <v>11</v>
      </c>
      <c r="F21" s="9" t="s">
        <v>44</v>
      </c>
      <c r="G21" s="10">
        <v>45153</v>
      </c>
      <c r="H21" s="11" t="str">
        <f t="shared" ca="1" si="0"/>
        <v>3 Year 0 Month</v>
      </c>
    </row>
    <row r="22" spans="1:8" hidden="1" x14ac:dyDescent="0.35">
      <c r="A22" s="6">
        <f t="shared" si="1"/>
        <v>20</v>
      </c>
      <c r="B22" s="7" t="s">
        <v>45</v>
      </c>
      <c r="C22" s="8" t="s">
        <v>14</v>
      </c>
      <c r="D22" s="9" t="s">
        <v>15</v>
      </c>
      <c r="E22" s="8" t="s">
        <v>11</v>
      </c>
      <c r="F22" s="9" t="s">
        <v>46</v>
      </c>
      <c r="G22" s="10">
        <v>45153</v>
      </c>
      <c r="H22" s="11" t="str">
        <f t="shared" ca="1" si="0"/>
        <v>3 Year 0 Month</v>
      </c>
    </row>
    <row r="23" spans="1:8" x14ac:dyDescent="0.35">
      <c r="A23" s="6">
        <f t="shared" si="1"/>
        <v>21</v>
      </c>
      <c r="B23" s="7" t="s">
        <v>47</v>
      </c>
      <c r="C23" s="8" t="s">
        <v>9</v>
      </c>
      <c r="D23" s="9" t="s">
        <v>10</v>
      </c>
      <c r="E23" s="8" t="s">
        <v>11</v>
      </c>
      <c r="F23" s="9" t="s">
        <v>12</v>
      </c>
      <c r="G23" s="10">
        <v>45211</v>
      </c>
      <c r="H23" s="11" t="str">
        <f t="shared" ca="1" si="0"/>
        <v>2 Year 10 Month</v>
      </c>
    </row>
    <row r="24" spans="1:8" x14ac:dyDescent="0.35">
      <c r="A24" s="6">
        <f t="shared" si="1"/>
        <v>22</v>
      </c>
      <c r="B24" s="7" t="s">
        <v>48</v>
      </c>
      <c r="C24" s="8" t="s">
        <v>9</v>
      </c>
      <c r="D24" s="9" t="s">
        <v>10</v>
      </c>
      <c r="E24" s="8" t="s">
        <v>11</v>
      </c>
      <c r="F24" s="9" t="s">
        <v>12</v>
      </c>
      <c r="G24" s="10">
        <v>45211</v>
      </c>
      <c r="H24" s="11" t="str">
        <f t="shared" ca="1" si="0"/>
        <v>2 Year 10 Month</v>
      </c>
    </row>
    <row r="25" spans="1:8" x14ac:dyDescent="0.35">
      <c r="A25" s="6">
        <f t="shared" si="1"/>
        <v>23</v>
      </c>
      <c r="B25" s="7" t="s">
        <v>49</v>
      </c>
      <c r="C25" s="8" t="s">
        <v>9</v>
      </c>
      <c r="D25" s="9" t="s">
        <v>10</v>
      </c>
      <c r="E25" s="8" t="s">
        <v>11</v>
      </c>
      <c r="F25" s="9" t="s">
        <v>12</v>
      </c>
      <c r="G25" s="10">
        <v>45237</v>
      </c>
      <c r="H25" s="11" t="str">
        <f t="shared" ca="1" si="0"/>
        <v>2 Year 9 Month</v>
      </c>
    </row>
    <row r="26" spans="1:8" x14ac:dyDescent="0.35">
      <c r="A26" s="6">
        <f t="shared" si="1"/>
        <v>24</v>
      </c>
      <c r="B26" s="7" t="s">
        <v>50</v>
      </c>
      <c r="C26" s="8" t="s">
        <v>9</v>
      </c>
      <c r="D26" s="9" t="s">
        <v>10</v>
      </c>
      <c r="E26" s="8" t="s">
        <v>11</v>
      </c>
      <c r="F26" s="9" t="s">
        <v>12</v>
      </c>
      <c r="G26" s="10">
        <v>45238</v>
      </c>
      <c r="H26" s="11" t="str">
        <f t="shared" ca="1" si="0"/>
        <v>2 Year 9 Month</v>
      </c>
    </row>
    <row r="27" spans="1:8" x14ac:dyDescent="0.35">
      <c r="A27" s="6">
        <f t="shared" si="1"/>
        <v>25</v>
      </c>
      <c r="B27" s="7" t="s">
        <v>51</v>
      </c>
      <c r="C27" s="8" t="s">
        <v>9</v>
      </c>
      <c r="D27" s="9" t="s">
        <v>10</v>
      </c>
      <c r="E27" s="8" t="s">
        <v>11</v>
      </c>
      <c r="F27" s="9" t="s">
        <v>52</v>
      </c>
      <c r="G27" s="10">
        <v>45245</v>
      </c>
      <c r="H27" s="11" t="str">
        <f t="shared" ca="1" si="0"/>
        <v>2 Year 9 Month</v>
      </c>
    </row>
    <row r="28" spans="1:8" hidden="1" x14ac:dyDescent="0.35">
      <c r="A28" s="6">
        <f t="shared" si="1"/>
        <v>26</v>
      </c>
      <c r="B28" s="7" t="s">
        <v>53</v>
      </c>
      <c r="C28" s="8" t="s">
        <v>14</v>
      </c>
      <c r="D28" s="9" t="s">
        <v>18</v>
      </c>
      <c r="E28" s="8" t="s">
        <v>11</v>
      </c>
      <c r="F28" s="9" t="s">
        <v>28</v>
      </c>
      <c r="G28" s="10">
        <v>45245</v>
      </c>
      <c r="H28" s="11" t="str">
        <f t="shared" ca="1" si="0"/>
        <v>2 Year 9 Month</v>
      </c>
    </row>
    <row r="29" spans="1:8" x14ac:dyDescent="0.35">
      <c r="A29" s="6">
        <f t="shared" si="1"/>
        <v>27</v>
      </c>
      <c r="B29" s="7" t="s">
        <v>54</v>
      </c>
      <c r="C29" s="8" t="s">
        <v>9</v>
      </c>
      <c r="D29" s="9" t="s">
        <v>10</v>
      </c>
      <c r="E29" s="8" t="s">
        <v>11</v>
      </c>
      <c r="F29" s="9" t="s">
        <v>12</v>
      </c>
      <c r="G29" s="10">
        <v>45265</v>
      </c>
      <c r="H29" s="11" t="str">
        <f t="shared" ca="1" si="0"/>
        <v>2 Year 8 Month</v>
      </c>
    </row>
    <row r="30" spans="1:8" hidden="1" x14ac:dyDescent="0.35">
      <c r="A30" s="6">
        <f t="shared" si="1"/>
        <v>28</v>
      </c>
      <c r="B30" s="7" t="s">
        <v>55</v>
      </c>
      <c r="C30" s="8" t="s">
        <v>14</v>
      </c>
      <c r="D30" s="9" t="s">
        <v>18</v>
      </c>
      <c r="E30" s="8" t="s">
        <v>11</v>
      </c>
      <c r="F30" s="9" t="s">
        <v>39</v>
      </c>
      <c r="G30" s="10">
        <v>45265</v>
      </c>
      <c r="H30" s="11" t="str">
        <f t="shared" ca="1" si="0"/>
        <v>2 Year 8 Month</v>
      </c>
    </row>
    <row r="31" spans="1:8" hidden="1" x14ac:dyDescent="0.35">
      <c r="A31" s="6">
        <f t="shared" si="1"/>
        <v>29</v>
      </c>
      <c r="B31" s="7" t="s">
        <v>56</v>
      </c>
      <c r="C31" s="8" t="s">
        <v>14</v>
      </c>
      <c r="D31" s="9" t="s">
        <v>15</v>
      </c>
      <c r="E31" s="8" t="s">
        <v>11</v>
      </c>
      <c r="F31" s="9" t="s">
        <v>28</v>
      </c>
      <c r="G31" s="10">
        <v>45265</v>
      </c>
      <c r="H31" s="11" t="str">
        <f t="shared" ca="1" si="0"/>
        <v>2 Year 8 Month</v>
      </c>
    </row>
    <row r="32" spans="1:8" hidden="1" x14ac:dyDescent="0.35">
      <c r="A32" s="6">
        <f t="shared" si="1"/>
        <v>30</v>
      </c>
      <c r="B32" s="7" t="s">
        <v>57</v>
      </c>
      <c r="C32" s="8" t="s">
        <v>14</v>
      </c>
      <c r="D32" s="9" t="s">
        <v>15</v>
      </c>
      <c r="E32" s="8" t="s">
        <v>11</v>
      </c>
      <c r="F32" s="9" t="s">
        <v>28</v>
      </c>
      <c r="G32" s="10">
        <v>45271</v>
      </c>
      <c r="H32" s="11" t="str">
        <f t="shared" ca="1" si="0"/>
        <v>2 Year 8 Month</v>
      </c>
    </row>
    <row r="33" spans="1:8" hidden="1" x14ac:dyDescent="0.35">
      <c r="A33" s="6">
        <f t="shared" si="1"/>
        <v>31</v>
      </c>
      <c r="B33" s="7" t="s">
        <v>58</v>
      </c>
      <c r="C33" s="8" t="s">
        <v>14</v>
      </c>
      <c r="D33" s="9" t="s">
        <v>15</v>
      </c>
      <c r="E33" s="8" t="s">
        <v>11</v>
      </c>
      <c r="F33" s="9" t="s">
        <v>16</v>
      </c>
      <c r="G33" s="10">
        <v>45271</v>
      </c>
      <c r="H33" s="11" t="str">
        <f t="shared" ca="1" si="0"/>
        <v>2 Year 8 Month</v>
      </c>
    </row>
    <row r="34" spans="1:8" hidden="1" x14ac:dyDescent="0.35">
      <c r="A34" s="6">
        <f t="shared" si="1"/>
        <v>32</v>
      </c>
      <c r="B34" s="7" t="s">
        <v>59</v>
      </c>
      <c r="C34" s="8" t="s">
        <v>14</v>
      </c>
      <c r="D34" s="9" t="s">
        <v>15</v>
      </c>
      <c r="E34" s="8" t="s">
        <v>11</v>
      </c>
      <c r="F34" s="9" t="s">
        <v>28</v>
      </c>
      <c r="G34" s="10">
        <v>45271</v>
      </c>
      <c r="H34" s="11" t="str">
        <f t="shared" ca="1" si="0"/>
        <v>2 Year 8 Month</v>
      </c>
    </row>
    <row r="35" spans="1:8" x14ac:dyDescent="0.35">
      <c r="A35" s="6">
        <f t="shared" si="1"/>
        <v>33</v>
      </c>
      <c r="B35" s="7" t="s">
        <v>60</v>
      </c>
      <c r="C35" s="8" t="s">
        <v>9</v>
      </c>
      <c r="D35" s="9" t="s">
        <v>30</v>
      </c>
      <c r="E35" s="8" t="s">
        <v>11</v>
      </c>
      <c r="F35" s="9" t="s">
        <v>12</v>
      </c>
      <c r="G35" s="10">
        <v>45283</v>
      </c>
      <c r="H35" s="11" t="str">
        <f t="shared" ref="H35:H66" ca="1" si="2">DATEDIF(G35,TODAY(),"Y")&amp;" Year "&amp;DATEDIF(G35,TODAY(),"YM")&amp;" Month"</f>
        <v>2 Year 8 Month</v>
      </c>
    </row>
    <row r="36" spans="1:8" x14ac:dyDescent="0.35">
      <c r="A36" s="6">
        <f t="shared" ref="A36:A67" si="3">A35+1</f>
        <v>34</v>
      </c>
      <c r="B36" s="7" t="s">
        <v>61</v>
      </c>
      <c r="C36" s="8" t="s">
        <v>9</v>
      </c>
      <c r="D36" s="9" t="s">
        <v>10</v>
      </c>
      <c r="E36" s="8" t="s">
        <v>11</v>
      </c>
      <c r="F36" s="9" t="s">
        <v>12</v>
      </c>
      <c r="G36" s="10">
        <v>45293</v>
      </c>
      <c r="H36" s="11" t="str">
        <f t="shared" ca="1" si="2"/>
        <v>2 Year 8 Month</v>
      </c>
    </row>
    <row r="37" spans="1:8" x14ac:dyDescent="0.35">
      <c r="A37" s="6">
        <f t="shared" si="3"/>
        <v>35</v>
      </c>
      <c r="B37" s="7" t="s">
        <v>62</v>
      </c>
      <c r="C37" s="8" t="s">
        <v>9</v>
      </c>
      <c r="D37" s="9" t="s">
        <v>24</v>
      </c>
      <c r="E37" s="8" t="s">
        <v>11</v>
      </c>
      <c r="F37" s="9" t="s">
        <v>63</v>
      </c>
      <c r="G37" s="10">
        <v>45294</v>
      </c>
      <c r="H37" s="11" t="str">
        <f t="shared" ca="1" si="2"/>
        <v>2 Year 7 Month</v>
      </c>
    </row>
    <row r="38" spans="1:8" hidden="1" x14ac:dyDescent="0.35">
      <c r="A38" s="6">
        <f t="shared" si="3"/>
        <v>36</v>
      </c>
      <c r="B38" s="7" t="s">
        <v>64</v>
      </c>
      <c r="C38" s="8" t="s">
        <v>14</v>
      </c>
      <c r="D38" s="9" t="s">
        <v>18</v>
      </c>
      <c r="E38" s="8" t="s">
        <v>11</v>
      </c>
      <c r="F38" s="9" t="s">
        <v>28</v>
      </c>
      <c r="G38" s="10">
        <v>45297</v>
      </c>
      <c r="H38" s="11" t="str">
        <f t="shared" ca="1" si="2"/>
        <v>2 Year 7 Month</v>
      </c>
    </row>
    <row r="39" spans="1:8" hidden="1" x14ac:dyDescent="0.35">
      <c r="A39" s="6">
        <f t="shared" si="3"/>
        <v>37</v>
      </c>
      <c r="B39" s="7" t="s">
        <v>65</v>
      </c>
      <c r="C39" s="8" t="s">
        <v>14</v>
      </c>
      <c r="D39" s="9" t="s">
        <v>18</v>
      </c>
      <c r="E39" s="8" t="s">
        <v>11</v>
      </c>
      <c r="F39" s="9" t="s">
        <v>39</v>
      </c>
      <c r="G39" s="10">
        <v>45297</v>
      </c>
      <c r="H39" s="11" t="str">
        <f t="shared" ca="1" si="2"/>
        <v>2 Year 7 Month</v>
      </c>
    </row>
    <row r="40" spans="1:8" hidden="1" x14ac:dyDescent="0.35">
      <c r="A40" s="6">
        <f t="shared" si="3"/>
        <v>38</v>
      </c>
      <c r="B40" s="7" t="s">
        <v>66</v>
      </c>
      <c r="C40" s="8" t="s">
        <v>14</v>
      </c>
      <c r="D40" s="9" t="s">
        <v>18</v>
      </c>
      <c r="E40" s="8" t="s">
        <v>11</v>
      </c>
      <c r="F40" s="9" t="s">
        <v>28</v>
      </c>
      <c r="G40" s="10">
        <v>45297</v>
      </c>
      <c r="H40" s="11" t="str">
        <f t="shared" ca="1" si="2"/>
        <v>2 Year 7 Month</v>
      </c>
    </row>
    <row r="41" spans="1:8" hidden="1" x14ac:dyDescent="0.35">
      <c r="A41" s="6">
        <f t="shared" si="3"/>
        <v>39</v>
      </c>
      <c r="B41" s="7" t="s">
        <v>67</v>
      </c>
      <c r="C41" s="8" t="s">
        <v>14</v>
      </c>
      <c r="D41" s="9" t="s">
        <v>18</v>
      </c>
      <c r="E41" s="8" t="s">
        <v>11</v>
      </c>
      <c r="F41" s="9" t="s">
        <v>28</v>
      </c>
      <c r="G41" s="10">
        <v>45298</v>
      </c>
      <c r="H41" s="11" t="str">
        <f t="shared" ca="1" si="2"/>
        <v>2 Year 7 Month</v>
      </c>
    </row>
    <row r="42" spans="1:8" x14ac:dyDescent="0.35">
      <c r="A42" s="6">
        <f t="shared" si="3"/>
        <v>40</v>
      </c>
      <c r="B42" s="7" t="s">
        <v>68</v>
      </c>
      <c r="C42" s="8" t="s">
        <v>9</v>
      </c>
      <c r="D42" s="9" t="s">
        <v>69</v>
      </c>
      <c r="E42" s="8" t="s">
        <v>11</v>
      </c>
      <c r="F42" s="9" t="s">
        <v>32</v>
      </c>
      <c r="G42" s="10">
        <v>45298</v>
      </c>
      <c r="H42" s="11" t="str">
        <f t="shared" ca="1" si="2"/>
        <v>2 Year 7 Month</v>
      </c>
    </row>
    <row r="43" spans="1:8" hidden="1" x14ac:dyDescent="0.35">
      <c r="A43" s="6">
        <f t="shared" si="3"/>
        <v>41</v>
      </c>
      <c r="B43" s="7" t="s">
        <v>70</v>
      </c>
      <c r="C43" s="8" t="s">
        <v>14</v>
      </c>
      <c r="D43" s="9" t="s">
        <v>18</v>
      </c>
      <c r="E43" s="8" t="s">
        <v>11</v>
      </c>
      <c r="F43" s="9" t="s">
        <v>28</v>
      </c>
      <c r="G43" s="10">
        <v>45299</v>
      </c>
      <c r="H43" s="11" t="str">
        <f t="shared" ca="1" si="2"/>
        <v>2 Year 7 Month</v>
      </c>
    </row>
    <row r="44" spans="1:8" hidden="1" x14ac:dyDescent="0.35">
      <c r="A44" s="6">
        <f t="shared" si="3"/>
        <v>42</v>
      </c>
      <c r="B44" s="7" t="s">
        <v>71</v>
      </c>
      <c r="C44" s="8" t="s">
        <v>14</v>
      </c>
      <c r="D44" s="9" t="s">
        <v>18</v>
      </c>
      <c r="E44" s="8" t="s">
        <v>11</v>
      </c>
      <c r="F44" s="9" t="s">
        <v>28</v>
      </c>
      <c r="G44" s="10">
        <v>45300</v>
      </c>
      <c r="H44" s="11" t="str">
        <f t="shared" ca="1" si="2"/>
        <v>2 Year 7 Month</v>
      </c>
    </row>
    <row r="45" spans="1:8" x14ac:dyDescent="0.35">
      <c r="A45" s="6">
        <f t="shared" si="3"/>
        <v>43</v>
      </c>
      <c r="B45" s="7" t="s">
        <v>72</v>
      </c>
      <c r="C45" s="8" t="s">
        <v>9</v>
      </c>
      <c r="D45" s="9" t="s">
        <v>24</v>
      </c>
      <c r="E45" s="8" t="s">
        <v>11</v>
      </c>
      <c r="F45" s="9" t="s">
        <v>73</v>
      </c>
      <c r="G45" s="10">
        <v>45366</v>
      </c>
      <c r="H45" s="11" t="str">
        <f t="shared" ca="1" si="2"/>
        <v>2 Year 5 Month</v>
      </c>
    </row>
    <row r="46" spans="1:8" x14ac:dyDescent="0.35">
      <c r="A46" s="6">
        <f t="shared" si="3"/>
        <v>44</v>
      </c>
      <c r="B46" s="13" t="s">
        <v>74</v>
      </c>
      <c r="C46" s="8" t="s">
        <v>9</v>
      </c>
      <c r="D46" s="9" t="s">
        <v>30</v>
      </c>
      <c r="E46" s="8" t="s">
        <v>11</v>
      </c>
      <c r="F46" s="9" t="s">
        <v>12</v>
      </c>
      <c r="G46" s="14">
        <v>45383</v>
      </c>
      <c r="H46" s="11" t="str">
        <f t="shared" ca="1" si="2"/>
        <v>2 Year 5 Month</v>
      </c>
    </row>
    <row r="47" spans="1:8" x14ac:dyDescent="0.35">
      <c r="A47" s="6">
        <f t="shared" si="3"/>
        <v>45</v>
      </c>
      <c r="B47" s="7" t="s">
        <v>75</v>
      </c>
      <c r="C47" s="8" t="s">
        <v>9</v>
      </c>
      <c r="D47" s="9" t="s">
        <v>24</v>
      </c>
      <c r="E47" s="8" t="s">
        <v>11</v>
      </c>
      <c r="F47" s="9" t="s">
        <v>76</v>
      </c>
      <c r="G47" s="10">
        <v>45386</v>
      </c>
      <c r="H47" s="11" t="str">
        <f t="shared" ca="1" si="2"/>
        <v>2 Year 4 Month</v>
      </c>
    </row>
    <row r="48" spans="1:8" x14ac:dyDescent="0.35">
      <c r="A48" s="6">
        <f t="shared" si="3"/>
        <v>46</v>
      </c>
      <c r="B48" s="7" t="s">
        <v>77</v>
      </c>
      <c r="C48" s="8" t="s">
        <v>9</v>
      </c>
      <c r="D48" s="9" t="s">
        <v>24</v>
      </c>
      <c r="E48" s="8" t="s">
        <v>78</v>
      </c>
      <c r="F48" s="9" t="s">
        <v>79</v>
      </c>
      <c r="G48" s="10">
        <v>45413</v>
      </c>
      <c r="H48" s="11" t="str">
        <f t="shared" ca="1" si="2"/>
        <v>2 Year 4 Month</v>
      </c>
    </row>
    <row r="49" spans="1:8" x14ac:dyDescent="0.35">
      <c r="A49" s="6">
        <f t="shared" si="3"/>
        <v>47</v>
      </c>
      <c r="B49" s="7" t="s">
        <v>80</v>
      </c>
      <c r="C49" s="8" t="s">
        <v>9</v>
      </c>
      <c r="D49" s="9" t="s">
        <v>81</v>
      </c>
      <c r="E49" s="8" t="s">
        <v>11</v>
      </c>
      <c r="F49" s="9" t="s">
        <v>52</v>
      </c>
      <c r="G49" s="10">
        <v>45428</v>
      </c>
      <c r="H49" s="11" t="str">
        <f t="shared" ca="1" si="2"/>
        <v>2 Year 3 Month</v>
      </c>
    </row>
    <row r="50" spans="1:8" x14ac:dyDescent="0.35">
      <c r="A50" s="6">
        <f t="shared" si="3"/>
        <v>48</v>
      </c>
      <c r="B50" s="7" t="s">
        <v>82</v>
      </c>
      <c r="C50" s="8" t="s">
        <v>9</v>
      </c>
      <c r="D50" s="9" t="s">
        <v>30</v>
      </c>
      <c r="E50" s="8" t="s">
        <v>11</v>
      </c>
      <c r="F50" s="9" t="s">
        <v>83</v>
      </c>
      <c r="G50" s="10">
        <v>45429</v>
      </c>
      <c r="H50" s="11" t="str">
        <f t="shared" ca="1" si="2"/>
        <v>2 Year 3 Month</v>
      </c>
    </row>
    <row r="51" spans="1:8" x14ac:dyDescent="0.35">
      <c r="A51" s="6">
        <f t="shared" si="3"/>
        <v>49</v>
      </c>
      <c r="B51" s="7" t="s">
        <v>84</v>
      </c>
      <c r="C51" s="8" t="s">
        <v>9</v>
      </c>
      <c r="D51" s="9" t="s">
        <v>81</v>
      </c>
      <c r="E51" s="8" t="s">
        <v>11</v>
      </c>
      <c r="F51" s="9" t="s">
        <v>12</v>
      </c>
      <c r="G51" s="10">
        <v>45429</v>
      </c>
      <c r="H51" s="11" t="str">
        <f t="shared" ca="1" si="2"/>
        <v>2 Year 3 Month</v>
      </c>
    </row>
    <row r="52" spans="1:8" x14ac:dyDescent="0.35">
      <c r="A52" s="6">
        <f t="shared" si="3"/>
        <v>50</v>
      </c>
      <c r="B52" s="7" t="s">
        <v>85</v>
      </c>
      <c r="C52" s="8" t="s">
        <v>9</v>
      </c>
      <c r="D52" s="9" t="s">
        <v>81</v>
      </c>
      <c r="E52" s="8" t="s">
        <v>11</v>
      </c>
      <c r="F52" s="9" t="s">
        <v>12</v>
      </c>
      <c r="G52" s="10">
        <v>45467</v>
      </c>
      <c r="H52" s="11" t="str">
        <f t="shared" ca="1" si="2"/>
        <v>2 Year 2 Month</v>
      </c>
    </row>
    <row r="53" spans="1:8" x14ac:dyDescent="0.35">
      <c r="A53" s="6">
        <f t="shared" si="3"/>
        <v>51</v>
      </c>
      <c r="B53" s="7" t="s">
        <v>86</v>
      </c>
      <c r="C53" s="8" t="s">
        <v>9</v>
      </c>
      <c r="D53" s="9" t="s">
        <v>10</v>
      </c>
      <c r="E53" s="8" t="s">
        <v>11</v>
      </c>
      <c r="F53" s="9" t="s">
        <v>12</v>
      </c>
      <c r="G53" s="10">
        <v>45484</v>
      </c>
      <c r="H53" s="11" t="str">
        <f t="shared" ca="1" si="2"/>
        <v>2 Year 1 Month</v>
      </c>
    </row>
    <row r="54" spans="1:8" x14ac:dyDescent="0.35">
      <c r="A54" s="6">
        <f t="shared" si="3"/>
        <v>52</v>
      </c>
      <c r="B54" s="7" t="s">
        <v>87</v>
      </c>
      <c r="C54" s="8" t="s">
        <v>9</v>
      </c>
      <c r="D54" s="9" t="s">
        <v>30</v>
      </c>
      <c r="E54" s="8" t="s">
        <v>11</v>
      </c>
      <c r="F54" s="9" t="s">
        <v>88</v>
      </c>
      <c r="G54" s="10">
        <v>45538</v>
      </c>
      <c r="H54" s="11" t="str">
        <f t="shared" ca="1" si="2"/>
        <v>1 Year 11 Month</v>
      </c>
    </row>
    <row r="55" spans="1:8" hidden="1" x14ac:dyDescent="0.35">
      <c r="A55" s="6">
        <f t="shared" si="3"/>
        <v>53</v>
      </c>
      <c r="B55" s="7" t="s">
        <v>89</v>
      </c>
      <c r="C55" s="8" t="s">
        <v>14</v>
      </c>
      <c r="D55" s="9" t="s">
        <v>18</v>
      </c>
      <c r="E55" s="8" t="s">
        <v>11</v>
      </c>
      <c r="F55" s="9" t="s">
        <v>90</v>
      </c>
      <c r="G55" s="10">
        <v>45544</v>
      </c>
      <c r="H55" s="11" t="str">
        <f t="shared" ca="1" si="2"/>
        <v>1 Year 11 Month</v>
      </c>
    </row>
    <row r="56" spans="1:8" x14ac:dyDescent="0.35">
      <c r="A56" s="6">
        <f t="shared" si="3"/>
        <v>54</v>
      </c>
      <c r="B56" s="7" t="s">
        <v>91</v>
      </c>
      <c r="C56" s="8" t="s">
        <v>9</v>
      </c>
      <c r="D56" s="9" t="s">
        <v>81</v>
      </c>
      <c r="E56" s="8" t="s">
        <v>11</v>
      </c>
      <c r="F56" s="9" t="s">
        <v>12</v>
      </c>
      <c r="G56" s="10">
        <v>45544</v>
      </c>
      <c r="H56" s="11" t="str">
        <f t="shared" ca="1" si="2"/>
        <v>1 Year 11 Month</v>
      </c>
    </row>
    <row r="57" spans="1:8" x14ac:dyDescent="0.35">
      <c r="A57" s="6">
        <f t="shared" si="3"/>
        <v>55</v>
      </c>
      <c r="B57" s="7" t="s">
        <v>92</v>
      </c>
      <c r="C57" s="8" t="s">
        <v>9</v>
      </c>
      <c r="D57" s="9" t="s">
        <v>30</v>
      </c>
      <c r="E57" s="8" t="s">
        <v>11</v>
      </c>
      <c r="F57" s="9" t="s">
        <v>12</v>
      </c>
      <c r="G57" s="10">
        <v>45544</v>
      </c>
      <c r="H57" s="11" t="str">
        <f t="shared" ca="1" si="2"/>
        <v>1 Year 11 Month</v>
      </c>
    </row>
    <row r="58" spans="1:8" x14ac:dyDescent="0.35">
      <c r="A58" s="6">
        <f t="shared" si="3"/>
        <v>56</v>
      </c>
      <c r="B58" s="7" t="s">
        <v>93</v>
      </c>
      <c r="C58" s="8" t="s">
        <v>9</v>
      </c>
      <c r="D58" s="9" t="s">
        <v>10</v>
      </c>
      <c r="E58" s="8" t="s">
        <v>11</v>
      </c>
      <c r="F58" s="9" t="s">
        <v>94</v>
      </c>
      <c r="G58" s="10">
        <v>45544</v>
      </c>
      <c r="H58" s="11" t="str">
        <f t="shared" ca="1" si="2"/>
        <v>1 Year 11 Month</v>
      </c>
    </row>
    <row r="59" spans="1:8" x14ac:dyDescent="0.35">
      <c r="A59" s="6">
        <f t="shared" si="3"/>
        <v>57</v>
      </c>
      <c r="B59" s="7" t="s">
        <v>95</v>
      </c>
      <c r="C59" s="8" t="s">
        <v>9</v>
      </c>
      <c r="D59" s="9" t="s">
        <v>81</v>
      </c>
      <c r="E59" s="8" t="s">
        <v>25</v>
      </c>
      <c r="F59" s="9" t="s">
        <v>19</v>
      </c>
      <c r="G59" s="10">
        <v>45572</v>
      </c>
      <c r="H59" s="11" t="str">
        <f t="shared" ca="1" si="2"/>
        <v>1 Year 10 Month</v>
      </c>
    </row>
    <row r="60" spans="1:8" x14ac:dyDescent="0.35">
      <c r="A60" s="6">
        <f t="shared" si="3"/>
        <v>58</v>
      </c>
      <c r="B60" s="7" t="s">
        <v>96</v>
      </c>
      <c r="C60" s="8" t="s">
        <v>9</v>
      </c>
      <c r="D60" s="9" t="s">
        <v>24</v>
      </c>
      <c r="E60" s="8" t="s">
        <v>25</v>
      </c>
      <c r="F60" s="9" t="s">
        <v>97</v>
      </c>
      <c r="G60" s="10">
        <v>45572</v>
      </c>
      <c r="H60" s="11" t="str">
        <f t="shared" ca="1" si="2"/>
        <v>1 Year 10 Month</v>
      </c>
    </row>
    <row r="61" spans="1:8" x14ac:dyDescent="0.35">
      <c r="A61" s="6">
        <f t="shared" si="3"/>
        <v>59</v>
      </c>
      <c r="B61" s="7" t="s">
        <v>98</v>
      </c>
      <c r="C61" s="8" t="s">
        <v>9</v>
      </c>
      <c r="D61" s="9" t="s">
        <v>24</v>
      </c>
      <c r="E61" s="8" t="s">
        <v>25</v>
      </c>
      <c r="F61" s="9" t="s">
        <v>26</v>
      </c>
      <c r="G61" s="10">
        <v>45621</v>
      </c>
      <c r="H61" s="11" t="str">
        <f t="shared" ca="1" si="2"/>
        <v>1 Year 9 Month</v>
      </c>
    </row>
    <row r="62" spans="1:8" x14ac:dyDescent="0.35">
      <c r="A62" s="6">
        <f t="shared" si="3"/>
        <v>60</v>
      </c>
      <c r="B62" s="10" t="s">
        <v>99</v>
      </c>
      <c r="C62" s="8" t="s">
        <v>9</v>
      </c>
      <c r="D62" s="9" t="s">
        <v>81</v>
      </c>
      <c r="E62" s="8" t="s">
        <v>25</v>
      </c>
      <c r="F62" s="9" t="s">
        <v>100</v>
      </c>
      <c r="G62" s="10">
        <v>45628</v>
      </c>
      <c r="H62" s="11" t="str">
        <f t="shared" ca="1" si="2"/>
        <v>1 Year 9 Month</v>
      </c>
    </row>
    <row r="63" spans="1:8" hidden="1" x14ac:dyDescent="0.35">
      <c r="A63" s="6">
        <f t="shared" si="3"/>
        <v>61</v>
      </c>
      <c r="B63" s="7" t="s">
        <v>101</v>
      </c>
      <c r="C63" s="8" t="s">
        <v>14</v>
      </c>
      <c r="D63" s="9" t="s">
        <v>15</v>
      </c>
      <c r="E63" s="8" t="s">
        <v>11</v>
      </c>
      <c r="F63" s="9" t="s">
        <v>19</v>
      </c>
      <c r="G63" s="10">
        <v>45665</v>
      </c>
      <c r="H63" s="11" t="str">
        <f t="shared" ca="1" si="2"/>
        <v>1 Year 7 Month</v>
      </c>
    </row>
    <row r="64" spans="1:8" x14ac:dyDescent="0.35">
      <c r="A64" s="6">
        <f t="shared" si="3"/>
        <v>62</v>
      </c>
      <c r="B64" s="13" t="s">
        <v>102</v>
      </c>
      <c r="C64" s="8" t="s">
        <v>9</v>
      </c>
      <c r="D64" s="9" t="s">
        <v>10</v>
      </c>
      <c r="E64" s="8" t="s">
        <v>11</v>
      </c>
      <c r="F64" s="9" t="s">
        <v>90</v>
      </c>
      <c r="G64" s="10">
        <v>45721</v>
      </c>
      <c r="H64" s="11" t="str">
        <f t="shared" ca="1" si="2"/>
        <v>1 Year 5 Month</v>
      </c>
    </row>
    <row r="65" spans="1:8" hidden="1" x14ac:dyDescent="0.35">
      <c r="A65" s="6">
        <f t="shared" si="3"/>
        <v>63</v>
      </c>
      <c r="B65" s="13" t="s">
        <v>103</v>
      </c>
      <c r="C65" s="8" t="s">
        <v>14</v>
      </c>
      <c r="D65" s="9" t="s">
        <v>18</v>
      </c>
      <c r="E65" s="8" t="s">
        <v>11</v>
      </c>
      <c r="F65" s="9" t="s">
        <v>90</v>
      </c>
      <c r="G65" s="10">
        <v>45721</v>
      </c>
      <c r="H65" s="11" t="str">
        <f t="shared" ca="1" si="2"/>
        <v>1 Year 5 Month</v>
      </c>
    </row>
    <row r="66" spans="1:8" hidden="1" x14ac:dyDescent="0.35">
      <c r="A66" s="6">
        <f t="shared" si="3"/>
        <v>64</v>
      </c>
      <c r="B66" s="13" t="s">
        <v>104</v>
      </c>
      <c r="C66" s="8" t="s">
        <v>14</v>
      </c>
      <c r="D66" s="9" t="s">
        <v>18</v>
      </c>
      <c r="E66" s="8" t="s">
        <v>11</v>
      </c>
      <c r="F66" s="9" t="s">
        <v>90</v>
      </c>
      <c r="G66" s="10">
        <v>45726</v>
      </c>
      <c r="H66" s="11" t="str">
        <f t="shared" ca="1" si="2"/>
        <v>1 Year 5 Month</v>
      </c>
    </row>
    <row r="67" spans="1:8" hidden="1" x14ac:dyDescent="0.35">
      <c r="A67" s="6">
        <f t="shared" si="3"/>
        <v>65</v>
      </c>
      <c r="B67" s="13" t="s">
        <v>105</v>
      </c>
      <c r="C67" s="8" t="s">
        <v>14</v>
      </c>
      <c r="D67" s="9" t="s">
        <v>18</v>
      </c>
      <c r="E67" s="8" t="s">
        <v>11</v>
      </c>
      <c r="F67" s="9" t="s">
        <v>90</v>
      </c>
      <c r="G67" s="14">
        <v>45752</v>
      </c>
      <c r="H67" s="11" t="str">
        <f t="shared" ref="H67:H89" ca="1" si="4">DATEDIF(G67,TODAY(),"Y")&amp;" Year "&amp;DATEDIF(G67,TODAY(),"YM")&amp;" Month"</f>
        <v>1 Year 4 Month</v>
      </c>
    </row>
    <row r="68" spans="1:8" hidden="1" x14ac:dyDescent="0.35">
      <c r="A68" s="6">
        <f t="shared" ref="A68:A89" si="5">A67+1</f>
        <v>66</v>
      </c>
      <c r="B68" s="13" t="s">
        <v>106</v>
      </c>
      <c r="C68" s="8" t="s">
        <v>14</v>
      </c>
      <c r="D68" s="9" t="s">
        <v>18</v>
      </c>
      <c r="E68" s="8" t="s">
        <v>11</v>
      </c>
      <c r="F68" s="9" t="s">
        <v>28</v>
      </c>
      <c r="G68" s="14">
        <v>45762</v>
      </c>
      <c r="H68" s="11" t="str">
        <f t="shared" ca="1" si="4"/>
        <v>1 Year 4 Month</v>
      </c>
    </row>
    <row r="69" spans="1:8" x14ac:dyDescent="0.35">
      <c r="A69" s="6">
        <f t="shared" si="5"/>
        <v>67</v>
      </c>
      <c r="B69" s="7" t="s">
        <v>107</v>
      </c>
      <c r="C69" s="8" t="s">
        <v>9</v>
      </c>
      <c r="D69" s="9" t="s">
        <v>24</v>
      </c>
      <c r="E69" s="8" t="s">
        <v>11</v>
      </c>
      <c r="F69" s="9" t="s">
        <v>108</v>
      </c>
      <c r="G69" s="10">
        <v>45845</v>
      </c>
      <c r="H69" s="11" t="str">
        <f t="shared" ca="1" si="4"/>
        <v>1 Year 1 Month</v>
      </c>
    </row>
    <row r="70" spans="1:8" hidden="1" x14ac:dyDescent="0.35">
      <c r="A70" s="6">
        <f t="shared" si="5"/>
        <v>68</v>
      </c>
      <c r="B70" s="13" t="s">
        <v>109</v>
      </c>
      <c r="C70" s="8" t="s">
        <v>14</v>
      </c>
      <c r="D70" s="9" t="s">
        <v>110</v>
      </c>
      <c r="E70" s="8" t="s">
        <v>11</v>
      </c>
      <c r="F70" s="9" t="s">
        <v>28</v>
      </c>
      <c r="G70" s="14">
        <v>45846</v>
      </c>
      <c r="H70" s="11" t="str">
        <f t="shared" ca="1" si="4"/>
        <v>1 Year 1 Month</v>
      </c>
    </row>
    <row r="71" spans="1:8" hidden="1" x14ac:dyDescent="0.35">
      <c r="A71" s="6">
        <f t="shared" si="5"/>
        <v>69</v>
      </c>
      <c r="B71" s="13" t="s">
        <v>111</v>
      </c>
      <c r="C71" s="8" t="s">
        <v>14</v>
      </c>
      <c r="D71" s="9" t="s">
        <v>15</v>
      </c>
      <c r="E71" s="8" t="s">
        <v>11</v>
      </c>
      <c r="F71" s="9" t="s">
        <v>28</v>
      </c>
      <c r="G71" s="14">
        <v>45860</v>
      </c>
      <c r="H71" s="11" t="str">
        <f t="shared" ca="1" si="4"/>
        <v>1 Year 1 Month</v>
      </c>
    </row>
    <row r="72" spans="1:8" hidden="1" x14ac:dyDescent="0.35">
      <c r="A72" s="6">
        <f t="shared" si="5"/>
        <v>70</v>
      </c>
      <c r="B72" s="13" t="s">
        <v>112</v>
      </c>
      <c r="C72" s="8" t="s">
        <v>14</v>
      </c>
      <c r="D72" s="9" t="s">
        <v>15</v>
      </c>
      <c r="E72" s="8" t="s">
        <v>11</v>
      </c>
      <c r="F72" s="9" t="s">
        <v>28</v>
      </c>
      <c r="G72" s="14">
        <v>45860</v>
      </c>
      <c r="H72" s="11" t="str">
        <f t="shared" ca="1" si="4"/>
        <v>1 Year 1 Month</v>
      </c>
    </row>
    <row r="73" spans="1:8" hidden="1" x14ac:dyDescent="0.35">
      <c r="A73" s="6">
        <f t="shared" si="5"/>
        <v>71</v>
      </c>
      <c r="B73" s="13" t="s">
        <v>113</v>
      </c>
      <c r="C73" s="8" t="s">
        <v>14</v>
      </c>
      <c r="D73" s="9" t="s">
        <v>15</v>
      </c>
      <c r="E73" s="8" t="s">
        <v>11</v>
      </c>
      <c r="F73" s="9" t="s">
        <v>28</v>
      </c>
      <c r="G73" s="10">
        <v>45876</v>
      </c>
      <c r="H73" s="11" t="str">
        <f t="shared" ca="1" si="4"/>
        <v>1 Year 0 Month</v>
      </c>
    </row>
    <row r="74" spans="1:8" x14ac:dyDescent="0.35">
      <c r="A74" s="6">
        <f t="shared" si="5"/>
        <v>72</v>
      </c>
      <c r="B74" s="14" t="s">
        <v>114</v>
      </c>
      <c r="C74" s="8" t="s">
        <v>9</v>
      </c>
      <c r="D74" s="9" t="s">
        <v>24</v>
      </c>
      <c r="E74" s="8" t="s">
        <v>11</v>
      </c>
      <c r="F74" s="9" t="s">
        <v>115</v>
      </c>
      <c r="G74" s="14">
        <v>45901</v>
      </c>
      <c r="H74" s="11" t="str">
        <f t="shared" ca="1" si="4"/>
        <v>1 Year 0 Month</v>
      </c>
    </row>
    <row r="75" spans="1:8" x14ac:dyDescent="0.35">
      <c r="A75" s="6">
        <f t="shared" si="5"/>
        <v>73</v>
      </c>
      <c r="B75" s="14" t="s">
        <v>116</v>
      </c>
      <c r="C75" s="8" t="s">
        <v>9</v>
      </c>
      <c r="D75" s="9" t="s">
        <v>24</v>
      </c>
      <c r="E75" s="8" t="s">
        <v>11</v>
      </c>
      <c r="F75" s="9" t="s">
        <v>115</v>
      </c>
      <c r="G75" s="14">
        <v>45901</v>
      </c>
      <c r="H75" s="11" t="str">
        <f t="shared" ca="1" si="4"/>
        <v>1 Year 0 Month</v>
      </c>
    </row>
    <row r="76" spans="1:8" x14ac:dyDescent="0.35">
      <c r="A76" s="6">
        <f t="shared" si="5"/>
        <v>74</v>
      </c>
      <c r="B76" s="13" t="s">
        <v>117</v>
      </c>
      <c r="C76" s="8" t="s">
        <v>9</v>
      </c>
      <c r="D76" s="9" t="s">
        <v>24</v>
      </c>
      <c r="E76" s="8" t="s">
        <v>11</v>
      </c>
      <c r="F76" s="9" t="s">
        <v>115</v>
      </c>
      <c r="G76" s="14">
        <v>45901</v>
      </c>
      <c r="H76" s="11" t="str">
        <f t="shared" ca="1" si="4"/>
        <v>1 Year 0 Month</v>
      </c>
    </row>
    <row r="77" spans="1:8" x14ac:dyDescent="0.35">
      <c r="A77" s="6">
        <f t="shared" si="5"/>
        <v>75</v>
      </c>
      <c r="B77" s="15" t="s">
        <v>118</v>
      </c>
      <c r="C77" s="8" t="s">
        <v>9</v>
      </c>
      <c r="D77" s="9" t="s">
        <v>24</v>
      </c>
      <c r="E77" s="8" t="s">
        <v>11</v>
      </c>
      <c r="F77" s="9" t="s">
        <v>119</v>
      </c>
      <c r="G77" s="14">
        <v>45915</v>
      </c>
      <c r="H77" s="11" t="str">
        <f t="shared" ca="1" si="4"/>
        <v>0 Year 11 Month</v>
      </c>
    </row>
    <row r="78" spans="1:8" x14ac:dyDescent="0.35">
      <c r="A78" s="6">
        <f t="shared" si="5"/>
        <v>76</v>
      </c>
      <c r="B78" s="14" t="s">
        <v>120</v>
      </c>
      <c r="C78" s="8" t="s">
        <v>9</v>
      </c>
      <c r="D78" s="9" t="s">
        <v>24</v>
      </c>
      <c r="E78" s="8" t="s">
        <v>78</v>
      </c>
      <c r="F78" s="9" t="s">
        <v>79</v>
      </c>
      <c r="G78" s="16">
        <v>45929</v>
      </c>
      <c r="H78" s="11" t="str">
        <f t="shared" ca="1" si="4"/>
        <v>0 Year 11 Month</v>
      </c>
    </row>
    <row r="79" spans="1:8" x14ac:dyDescent="0.35">
      <c r="A79" s="6">
        <f t="shared" si="5"/>
        <v>77</v>
      </c>
      <c r="B79" s="7" t="s">
        <v>121</v>
      </c>
      <c r="C79" s="8" t="s">
        <v>9</v>
      </c>
      <c r="D79" s="9" t="s">
        <v>24</v>
      </c>
      <c r="E79" s="8" t="s">
        <v>78</v>
      </c>
      <c r="F79" s="9" t="s">
        <v>79</v>
      </c>
      <c r="G79" s="16">
        <v>45929</v>
      </c>
      <c r="H79" s="11" t="str">
        <f t="shared" ca="1" si="4"/>
        <v>0 Year 11 Month</v>
      </c>
    </row>
    <row r="80" spans="1:8" x14ac:dyDescent="0.35">
      <c r="A80" s="6">
        <f t="shared" si="5"/>
        <v>78</v>
      </c>
      <c r="B80" s="7" t="s">
        <v>122</v>
      </c>
      <c r="C80" s="8" t="s">
        <v>9</v>
      </c>
      <c r="D80" s="9" t="s">
        <v>24</v>
      </c>
      <c r="E80" s="8" t="s">
        <v>78</v>
      </c>
      <c r="F80" s="9" t="s">
        <v>79</v>
      </c>
      <c r="G80" s="16">
        <v>45929</v>
      </c>
      <c r="H80" s="11" t="str">
        <f t="shared" ca="1" si="4"/>
        <v>0 Year 11 Month</v>
      </c>
    </row>
    <row r="81" spans="1:8" x14ac:dyDescent="0.35">
      <c r="A81" s="6">
        <f t="shared" si="5"/>
        <v>79</v>
      </c>
      <c r="B81" s="14" t="s">
        <v>123</v>
      </c>
      <c r="C81" s="8" t="s">
        <v>9</v>
      </c>
      <c r="D81" s="9" t="s">
        <v>24</v>
      </c>
      <c r="E81" s="8" t="s">
        <v>78</v>
      </c>
      <c r="F81" s="9" t="s">
        <v>124</v>
      </c>
      <c r="G81" s="16">
        <v>45929</v>
      </c>
      <c r="H81" s="11" t="str">
        <f t="shared" ca="1" si="4"/>
        <v>0 Year 11 Month</v>
      </c>
    </row>
    <row r="82" spans="1:8" x14ac:dyDescent="0.35">
      <c r="A82" s="6">
        <f t="shared" si="5"/>
        <v>80</v>
      </c>
      <c r="B82" s="7" t="s">
        <v>125</v>
      </c>
      <c r="C82" s="8" t="s">
        <v>9</v>
      </c>
      <c r="D82" s="9" t="s">
        <v>24</v>
      </c>
      <c r="E82" s="8" t="s">
        <v>78</v>
      </c>
      <c r="F82" s="9" t="s">
        <v>126</v>
      </c>
      <c r="G82" s="10">
        <v>45931</v>
      </c>
      <c r="H82" s="11" t="str">
        <f t="shared" ca="1" si="4"/>
        <v>0 Year 11 Month</v>
      </c>
    </row>
    <row r="83" spans="1:8" x14ac:dyDescent="0.35">
      <c r="A83" s="6">
        <f t="shared" si="5"/>
        <v>81</v>
      </c>
      <c r="B83" s="7" t="s">
        <v>127</v>
      </c>
      <c r="C83" s="8" t="s">
        <v>9</v>
      </c>
      <c r="D83" s="17" t="s">
        <v>24</v>
      </c>
      <c r="E83" s="18" t="s">
        <v>11</v>
      </c>
      <c r="F83" s="19" t="s">
        <v>128</v>
      </c>
      <c r="G83" s="14">
        <v>45958</v>
      </c>
      <c r="H83" s="11" t="str">
        <f t="shared" ca="1" si="4"/>
        <v>0 Year 10 Month</v>
      </c>
    </row>
    <row r="84" spans="1:8" x14ac:dyDescent="0.35">
      <c r="A84" s="6">
        <f t="shared" si="5"/>
        <v>82</v>
      </c>
      <c r="B84" s="7" t="s">
        <v>129</v>
      </c>
      <c r="C84" s="8" t="s">
        <v>9</v>
      </c>
      <c r="D84" s="17" t="s">
        <v>24</v>
      </c>
      <c r="E84" s="18" t="s">
        <v>11</v>
      </c>
      <c r="F84" s="19" t="s">
        <v>128</v>
      </c>
      <c r="G84" s="14">
        <v>45958</v>
      </c>
      <c r="H84" s="11" t="str">
        <f t="shared" ca="1" si="4"/>
        <v>0 Year 10 Month</v>
      </c>
    </row>
    <row r="85" spans="1:8" x14ac:dyDescent="0.35">
      <c r="A85" s="6">
        <f t="shared" si="5"/>
        <v>83</v>
      </c>
      <c r="B85" s="7" t="s">
        <v>130</v>
      </c>
      <c r="C85" s="8" t="s">
        <v>9</v>
      </c>
      <c r="D85" s="17" t="s">
        <v>24</v>
      </c>
      <c r="E85" s="18" t="s">
        <v>11</v>
      </c>
      <c r="F85" s="19" t="s">
        <v>128</v>
      </c>
      <c r="G85" s="14">
        <v>45958</v>
      </c>
      <c r="H85" s="11" t="str">
        <f t="shared" ca="1" si="4"/>
        <v>0 Year 10 Month</v>
      </c>
    </row>
    <row r="86" spans="1:8" x14ac:dyDescent="0.35">
      <c r="A86" s="6">
        <f t="shared" si="5"/>
        <v>84</v>
      </c>
      <c r="B86" s="7" t="s">
        <v>131</v>
      </c>
      <c r="C86" s="8" t="s">
        <v>9</v>
      </c>
      <c r="D86" s="17" t="s">
        <v>24</v>
      </c>
      <c r="E86" s="18" t="s">
        <v>11</v>
      </c>
      <c r="F86" s="19" t="s">
        <v>128</v>
      </c>
      <c r="G86" s="14">
        <v>45958</v>
      </c>
      <c r="H86" s="11" t="str">
        <f t="shared" ca="1" si="4"/>
        <v>0 Year 10 Month</v>
      </c>
    </row>
    <row r="87" spans="1:8" x14ac:dyDescent="0.35">
      <c r="A87" s="6">
        <f t="shared" si="5"/>
        <v>85</v>
      </c>
      <c r="B87" s="7" t="s">
        <v>132</v>
      </c>
      <c r="C87" s="8" t="s">
        <v>9</v>
      </c>
      <c r="D87" s="17" t="s">
        <v>24</v>
      </c>
      <c r="E87" s="18" t="s">
        <v>11</v>
      </c>
      <c r="F87" s="19" t="s">
        <v>128</v>
      </c>
      <c r="G87" s="14">
        <v>45958</v>
      </c>
      <c r="H87" s="11" t="str">
        <f t="shared" ca="1" si="4"/>
        <v>0 Year 10 Month</v>
      </c>
    </row>
    <row r="88" spans="1:8" x14ac:dyDescent="0.35">
      <c r="A88" s="6">
        <f t="shared" si="5"/>
        <v>86</v>
      </c>
      <c r="B88" s="20" t="s">
        <v>133</v>
      </c>
      <c r="C88" s="8" t="s">
        <v>9</v>
      </c>
      <c r="D88" s="9" t="s">
        <v>81</v>
      </c>
      <c r="E88" s="8" t="s">
        <v>11</v>
      </c>
      <c r="F88" s="9" t="s">
        <v>134</v>
      </c>
      <c r="G88" s="21">
        <v>45967</v>
      </c>
      <c r="H88" s="11" t="str">
        <f t="shared" ca="1" si="4"/>
        <v>0 Year 9 Month</v>
      </c>
    </row>
    <row r="89" spans="1:8" x14ac:dyDescent="0.35">
      <c r="A89" s="6">
        <f t="shared" si="5"/>
        <v>87</v>
      </c>
      <c r="B89" s="20" t="s">
        <v>135</v>
      </c>
      <c r="C89" s="8" t="s">
        <v>9</v>
      </c>
      <c r="D89" s="9" t="s">
        <v>136</v>
      </c>
      <c r="E89" s="8" t="s">
        <v>11</v>
      </c>
      <c r="F89" s="9" t="s">
        <v>21</v>
      </c>
      <c r="G89" s="21">
        <v>45977</v>
      </c>
      <c r="H89" s="11" t="str">
        <f t="shared" ca="1" si="4"/>
        <v>0 Year 9 Month</v>
      </c>
    </row>
  </sheetData>
  <autoFilter ref="A2:I89" xr:uid="{00000000-0009-0000-0000-000000000000}">
    <filterColumn colId="2">
      <filters>
        <filter val="G2-SERVICE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70B1-C975-4158-A8EF-89C07856287B}">
  <sheetPr>
    <pageSetUpPr fitToPage="1"/>
  </sheetPr>
  <dimension ref="A4:G102"/>
  <sheetViews>
    <sheetView tabSelected="1" view="pageBreakPreview" zoomScale="64" zoomScaleNormal="38" zoomScaleSheetLayoutView="85" zoomScalePageLayoutView="46" workbookViewId="0">
      <selection activeCell="E80" sqref="E80:E81"/>
    </sheetView>
  </sheetViews>
  <sheetFormatPr defaultRowHeight="14.5" x14ac:dyDescent="0.35"/>
  <cols>
    <col min="2" max="2" width="66.36328125" customWidth="1"/>
    <col min="3" max="3" width="20.54296875" customWidth="1"/>
    <col min="4" max="4" width="28.81640625" customWidth="1"/>
    <col min="5" max="5" width="20.54296875" customWidth="1"/>
    <col min="6" max="6" width="25.453125" customWidth="1"/>
    <col min="8" max="8" width="8.7265625" customWidth="1"/>
    <col min="9" max="9" width="20.453125" customWidth="1"/>
  </cols>
  <sheetData>
    <row r="4" spans="1:7" ht="15" thickBot="1" x14ac:dyDescent="0.4"/>
    <row r="5" spans="1:7" ht="15" thickBot="1" x14ac:dyDescent="0.4">
      <c r="B5" s="42" t="s">
        <v>151</v>
      </c>
      <c r="C5" s="44"/>
      <c r="D5" s="45"/>
    </row>
    <row r="6" spans="1:7" ht="35" customHeight="1" thickBot="1" x14ac:dyDescent="0.4">
      <c r="B6" s="43" t="s">
        <v>194</v>
      </c>
      <c r="C6" s="46" t="s">
        <v>196</v>
      </c>
      <c r="D6" s="47" t="s">
        <v>195</v>
      </c>
      <c r="E6" s="22"/>
      <c r="G6" s="22"/>
    </row>
    <row r="7" spans="1:7" ht="15" thickBot="1" x14ac:dyDescent="0.4"/>
    <row r="8" spans="1:7" ht="17.5" customHeight="1" x14ac:dyDescent="0.35">
      <c r="A8" s="58" t="s">
        <v>157</v>
      </c>
      <c r="B8" s="59"/>
      <c r="C8" s="59"/>
      <c r="D8" s="59"/>
      <c r="E8" s="59"/>
      <c r="F8" s="60"/>
    </row>
    <row r="9" spans="1:7" ht="16.5" thickBot="1" x14ac:dyDescent="0.4">
      <c r="A9" s="39" t="s">
        <v>186</v>
      </c>
      <c r="B9" s="40" t="s">
        <v>137</v>
      </c>
      <c r="C9" s="40" t="s">
        <v>138</v>
      </c>
      <c r="D9" s="40" t="s">
        <v>139</v>
      </c>
      <c r="E9" s="40" t="s">
        <v>140</v>
      </c>
      <c r="F9" s="41" t="s">
        <v>141</v>
      </c>
    </row>
    <row r="10" spans="1:7" ht="17" customHeight="1" x14ac:dyDescent="0.35">
      <c r="A10" s="61">
        <v>1</v>
      </c>
      <c r="B10" s="38" t="s">
        <v>154</v>
      </c>
      <c r="C10" s="53"/>
      <c r="D10" s="54" t="s">
        <v>153</v>
      </c>
      <c r="E10" s="53"/>
      <c r="F10" s="56"/>
    </row>
    <row r="11" spans="1:7" x14ac:dyDescent="0.35">
      <c r="A11" s="62"/>
      <c r="B11" s="25" t="s">
        <v>155</v>
      </c>
      <c r="C11" s="51"/>
      <c r="D11" s="55"/>
      <c r="E11" s="51"/>
      <c r="F11" s="52"/>
    </row>
    <row r="12" spans="1:7" ht="17" customHeight="1" x14ac:dyDescent="0.35">
      <c r="A12" s="63">
        <v>2</v>
      </c>
      <c r="B12" s="26" t="s">
        <v>158</v>
      </c>
      <c r="C12" s="51"/>
      <c r="D12" s="55" t="s">
        <v>153</v>
      </c>
      <c r="E12" s="51"/>
      <c r="F12" s="52"/>
    </row>
    <row r="13" spans="1:7" ht="17" customHeight="1" x14ac:dyDescent="0.35">
      <c r="A13" s="62"/>
      <c r="B13" s="25" t="s">
        <v>143</v>
      </c>
      <c r="C13" s="51"/>
      <c r="D13" s="55"/>
      <c r="E13" s="51"/>
      <c r="F13" s="52"/>
    </row>
    <row r="14" spans="1:7" x14ac:dyDescent="0.35">
      <c r="A14" s="63">
        <v>3</v>
      </c>
      <c r="B14" s="26" t="s">
        <v>159</v>
      </c>
      <c r="C14" s="51"/>
      <c r="D14" s="55" t="s">
        <v>153</v>
      </c>
      <c r="E14" s="51"/>
      <c r="F14" s="52"/>
    </row>
    <row r="15" spans="1:7" x14ac:dyDescent="0.35">
      <c r="A15" s="62"/>
      <c r="B15" s="25" t="s">
        <v>143</v>
      </c>
      <c r="C15" s="51"/>
      <c r="D15" s="55"/>
      <c r="E15" s="51"/>
      <c r="F15" s="52"/>
    </row>
    <row r="16" spans="1:7" x14ac:dyDescent="0.35">
      <c r="A16" s="63">
        <v>4</v>
      </c>
      <c r="B16" s="26" t="s">
        <v>163</v>
      </c>
      <c r="C16" s="51"/>
      <c r="D16" s="55" t="s">
        <v>153</v>
      </c>
      <c r="E16" s="51"/>
      <c r="F16" s="52"/>
    </row>
    <row r="17" spans="1:6" x14ac:dyDescent="0.35">
      <c r="A17" s="62"/>
      <c r="B17" s="25" t="s">
        <v>143</v>
      </c>
      <c r="C17" s="51"/>
      <c r="D17" s="55"/>
      <c r="E17" s="51"/>
      <c r="F17" s="52"/>
    </row>
    <row r="18" spans="1:6" x14ac:dyDescent="0.35">
      <c r="A18" s="63">
        <v>5</v>
      </c>
      <c r="B18" s="26" t="s">
        <v>160</v>
      </c>
      <c r="C18" s="51"/>
      <c r="D18" s="55" t="s">
        <v>153</v>
      </c>
      <c r="E18" s="51"/>
      <c r="F18" s="52"/>
    </row>
    <row r="19" spans="1:6" x14ac:dyDescent="0.35">
      <c r="A19" s="62"/>
      <c r="B19" s="25" t="s">
        <v>143</v>
      </c>
      <c r="C19" s="51"/>
      <c r="D19" s="55"/>
      <c r="E19" s="51"/>
      <c r="F19" s="52"/>
    </row>
    <row r="20" spans="1:6" x14ac:dyDescent="0.35">
      <c r="A20" s="63">
        <v>6</v>
      </c>
      <c r="B20" s="24" t="s">
        <v>164</v>
      </c>
      <c r="C20" s="51"/>
      <c r="D20" s="55" t="s">
        <v>153</v>
      </c>
      <c r="E20" s="51"/>
      <c r="F20" s="52"/>
    </row>
    <row r="21" spans="1:6" x14ac:dyDescent="0.35">
      <c r="A21" s="62"/>
      <c r="B21" s="25" t="s">
        <v>155</v>
      </c>
      <c r="C21" s="51"/>
      <c r="D21" s="55"/>
      <c r="E21" s="51"/>
      <c r="F21" s="52"/>
    </row>
    <row r="22" spans="1:6" x14ac:dyDescent="0.35">
      <c r="A22" s="63">
        <v>7</v>
      </c>
      <c r="B22" s="29" t="s">
        <v>170</v>
      </c>
      <c r="C22" s="57"/>
      <c r="D22" s="55" t="s">
        <v>153</v>
      </c>
      <c r="E22" s="51"/>
      <c r="F22" s="52"/>
    </row>
    <row r="23" spans="1:6" x14ac:dyDescent="0.35">
      <c r="A23" s="62"/>
      <c r="B23" s="30" t="s">
        <v>148</v>
      </c>
      <c r="C23" s="57"/>
      <c r="D23" s="55"/>
      <c r="E23" s="51"/>
      <c r="F23" s="52"/>
    </row>
    <row r="24" spans="1:6" x14ac:dyDescent="0.35">
      <c r="A24" s="63">
        <v>8</v>
      </c>
      <c r="B24" s="29" t="s">
        <v>171</v>
      </c>
      <c r="C24" s="57"/>
      <c r="D24" s="55" t="s">
        <v>153</v>
      </c>
      <c r="E24" s="51"/>
      <c r="F24" s="52"/>
    </row>
    <row r="25" spans="1:6" x14ac:dyDescent="0.35">
      <c r="A25" s="62"/>
      <c r="B25" s="30" t="s">
        <v>149</v>
      </c>
      <c r="C25" s="57"/>
      <c r="D25" s="55"/>
      <c r="E25" s="51"/>
      <c r="F25" s="52"/>
    </row>
    <row r="26" spans="1:6" x14ac:dyDescent="0.35">
      <c r="A26" s="63">
        <v>9</v>
      </c>
      <c r="B26" s="29" t="s">
        <v>172</v>
      </c>
      <c r="C26" s="57"/>
      <c r="D26" s="55" t="s">
        <v>153</v>
      </c>
      <c r="E26" s="51"/>
      <c r="F26" s="52"/>
    </row>
    <row r="27" spans="1:6" x14ac:dyDescent="0.35">
      <c r="A27" s="62"/>
      <c r="B27" s="30" t="s">
        <v>150</v>
      </c>
      <c r="C27" s="57"/>
      <c r="D27" s="55"/>
      <c r="E27" s="51"/>
      <c r="F27" s="52"/>
    </row>
    <row r="28" spans="1:6" x14ac:dyDescent="0.35">
      <c r="A28" s="64">
        <v>10</v>
      </c>
      <c r="B28" s="35" t="s">
        <v>162</v>
      </c>
      <c r="C28" s="51"/>
      <c r="D28" s="55" t="s">
        <v>153</v>
      </c>
      <c r="E28" s="51"/>
      <c r="F28" s="52"/>
    </row>
    <row r="29" spans="1:6" x14ac:dyDescent="0.35">
      <c r="A29" s="65"/>
      <c r="B29" s="36" t="s">
        <v>143</v>
      </c>
      <c r="C29" s="51"/>
      <c r="D29" s="55"/>
      <c r="E29" s="51"/>
      <c r="F29" s="52"/>
    </row>
    <row r="30" spans="1:6" ht="15" x14ac:dyDescent="0.4">
      <c r="A30" s="64">
        <v>11</v>
      </c>
      <c r="B30" s="37" t="s">
        <v>173</v>
      </c>
      <c r="C30" s="51"/>
      <c r="D30" s="55" t="s">
        <v>153</v>
      </c>
      <c r="E30" s="51"/>
      <c r="F30" s="52"/>
    </row>
    <row r="31" spans="1:6" x14ac:dyDescent="0.35">
      <c r="A31" s="65"/>
      <c r="B31" s="36" t="s">
        <v>143</v>
      </c>
      <c r="C31" s="51"/>
      <c r="D31" s="55"/>
      <c r="E31" s="51"/>
      <c r="F31" s="52"/>
    </row>
    <row r="32" spans="1:6" ht="15" x14ac:dyDescent="0.4">
      <c r="A32" s="64">
        <v>12</v>
      </c>
      <c r="B32" s="37" t="s">
        <v>174</v>
      </c>
      <c r="C32" s="51"/>
      <c r="D32" s="55" t="s">
        <v>153</v>
      </c>
      <c r="E32" s="51"/>
      <c r="F32" s="52"/>
    </row>
    <row r="33" spans="1:6" x14ac:dyDescent="0.35">
      <c r="A33" s="65"/>
      <c r="B33" s="36" t="s">
        <v>143</v>
      </c>
      <c r="C33" s="51"/>
      <c r="D33" s="55"/>
      <c r="E33" s="51"/>
      <c r="F33" s="52"/>
    </row>
    <row r="34" spans="1:6" ht="15" x14ac:dyDescent="0.4">
      <c r="A34" s="64">
        <v>13</v>
      </c>
      <c r="B34" s="37" t="s">
        <v>175</v>
      </c>
      <c r="C34" s="51"/>
      <c r="D34" s="55" t="s">
        <v>153</v>
      </c>
      <c r="E34" s="51"/>
      <c r="F34" s="52"/>
    </row>
    <row r="35" spans="1:6" x14ac:dyDescent="0.35">
      <c r="A35" s="65"/>
      <c r="B35" s="36" t="s">
        <v>143</v>
      </c>
      <c r="C35" s="51"/>
      <c r="D35" s="55"/>
      <c r="E35" s="51"/>
      <c r="F35" s="52"/>
    </row>
    <row r="36" spans="1:6" ht="15" x14ac:dyDescent="0.4">
      <c r="A36" s="64">
        <v>14</v>
      </c>
      <c r="B36" s="37" t="s">
        <v>176</v>
      </c>
      <c r="C36" s="51"/>
      <c r="D36" s="55" t="s">
        <v>153</v>
      </c>
      <c r="E36" s="51"/>
      <c r="F36" s="52"/>
    </row>
    <row r="37" spans="1:6" x14ac:dyDescent="0.35">
      <c r="A37" s="65"/>
      <c r="B37" s="36" t="s">
        <v>143</v>
      </c>
      <c r="C37" s="51"/>
      <c r="D37" s="55"/>
      <c r="E37" s="51"/>
      <c r="F37" s="52"/>
    </row>
    <row r="38" spans="1:6" ht="15" x14ac:dyDescent="0.4">
      <c r="A38" s="64">
        <v>15</v>
      </c>
      <c r="B38" s="37" t="s">
        <v>177</v>
      </c>
      <c r="C38" s="51"/>
      <c r="D38" s="55" t="s">
        <v>153</v>
      </c>
      <c r="E38" s="51"/>
      <c r="F38" s="52"/>
    </row>
    <row r="39" spans="1:6" x14ac:dyDescent="0.35">
      <c r="A39" s="65"/>
      <c r="B39" s="36" t="s">
        <v>143</v>
      </c>
      <c r="C39" s="51"/>
      <c r="D39" s="55"/>
      <c r="E39" s="51"/>
      <c r="F39" s="52"/>
    </row>
    <row r="40" spans="1:6" ht="15" x14ac:dyDescent="0.4">
      <c r="A40" s="64">
        <v>16</v>
      </c>
      <c r="B40" s="37" t="s">
        <v>178</v>
      </c>
      <c r="C40" s="51"/>
      <c r="D40" s="55" t="s">
        <v>153</v>
      </c>
      <c r="E40" s="51"/>
      <c r="F40" s="52"/>
    </row>
    <row r="41" spans="1:6" x14ac:dyDescent="0.35">
      <c r="A41" s="65"/>
      <c r="B41" s="36" t="s">
        <v>143</v>
      </c>
      <c r="C41" s="51"/>
      <c r="D41" s="55"/>
      <c r="E41" s="51"/>
      <c r="F41" s="52"/>
    </row>
    <row r="42" spans="1:6" ht="15" x14ac:dyDescent="0.4">
      <c r="A42" s="64">
        <v>17</v>
      </c>
      <c r="B42" s="37" t="s">
        <v>179</v>
      </c>
      <c r="C42" s="51"/>
      <c r="D42" s="55" t="s">
        <v>153</v>
      </c>
      <c r="E42" s="51"/>
      <c r="F42" s="52"/>
    </row>
    <row r="43" spans="1:6" x14ac:dyDescent="0.35">
      <c r="A43" s="65"/>
      <c r="B43" s="36" t="s">
        <v>143</v>
      </c>
      <c r="C43" s="51"/>
      <c r="D43" s="55"/>
      <c r="E43" s="51"/>
      <c r="F43" s="52"/>
    </row>
    <row r="44" spans="1:6" ht="15" x14ac:dyDescent="0.4">
      <c r="A44" s="63">
        <v>18</v>
      </c>
      <c r="B44" s="28" t="s">
        <v>167</v>
      </c>
      <c r="C44" s="51"/>
      <c r="D44" s="55" t="s">
        <v>153</v>
      </c>
      <c r="E44" s="51"/>
      <c r="F44" s="52"/>
    </row>
    <row r="45" spans="1:6" x14ac:dyDescent="0.35">
      <c r="A45" s="62"/>
      <c r="B45" s="25" t="s">
        <v>143</v>
      </c>
      <c r="C45" s="51"/>
      <c r="D45" s="55"/>
      <c r="E45" s="51"/>
      <c r="F45" s="52"/>
    </row>
    <row r="46" spans="1:6" ht="29.5" customHeight="1" x14ac:dyDescent="0.35">
      <c r="A46" s="63">
        <v>19</v>
      </c>
      <c r="B46" s="26" t="s">
        <v>161</v>
      </c>
      <c r="C46" s="51"/>
      <c r="D46" s="55" t="s">
        <v>153</v>
      </c>
      <c r="E46" s="51"/>
      <c r="F46" s="52"/>
    </row>
    <row r="47" spans="1:6" x14ac:dyDescent="0.35">
      <c r="A47" s="62"/>
      <c r="B47" s="25" t="s">
        <v>143</v>
      </c>
      <c r="C47" s="51"/>
      <c r="D47" s="55"/>
      <c r="E47" s="51"/>
      <c r="F47" s="52"/>
    </row>
    <row r="48" spans="1:6" x14ac:dyDescent="0.35">
      <c r="A48" s="63">
        <v>20</v>
      </c>
      <c r="B48" s="24" t="s">
        <v>165</v>
      </c>
      <c r="C48" s="51"/>
      <c r="D48" s="55" t="s">
        <v>153</v>
      </c>
      <c r="E48" s="51"/>
      <c r="F48" s="52"/>
    </row>
    <row r="49" spans="1:6" x14ac:dyDescent="0.35">
      <c r="A49" s="62"/>
      <c r="B49" s="25" t="s">
        <v>155</v>
      </c>
      <c r="C49" s="51"/>
      <c r="D49" s="55"/>
      <c r="E49" s="51"/>
      <c r="F49" s="52"/>
    </row>
    <row r="50" spans="1:6" x14ac:dyDescent="0.35">
      <c r="A50" s="63">
        <v>21</v>
      </c>
      <c r="B50" s="24" t="s">
        <v>180</v>
      </c>
      <c r="C50" s="51"/>
      <c r="D50" s="55" t="s">
        <v>153</v>
      </c>
      <c r="E50" s="51"/>
      <c r="F50" s="52"/>
    </row>
    <row r="51" spans="1:6" x14ac:dyDescent="0.35">
      <c r="A51" s="62"/>
      <c r="B51" s="25" t="s">
        <v>143</v>
      </c>
      <c r="C51" s="51"/>
      <c r="D51" s="55"/>
      <c r="E51" s="51"/>
      <c r="F51" s="52"/>
    </row>
    <row r="52" spans="1:6" ht="36" customHeight="1" x14ac:dyDescent="0.35">
      <c r="A52" s="63">
        <v>22</v>
      </c>
      <c r="B52" s="24" t="s">
        <v>181</v>
      </c>
      <c r="C52" s="51"/>
      <c r="D52" s="55" t="s">
        <v>153</v>
      </c>
      <c r="E52" s="51"/>
      <c r="F52" s="52"/>
    </row>
    <row r="53" spans="1:6" x14ac:dyDescent="0.35">
      <c r="A53" s="62"/>
      <c r="B53" s="25" t="s">
        <v>144</v>
      </c>
      <c r="C53" s="51"/>
      <c r="D53" s="55"/>
      <c r="E53" s="51"/>
      <c r="F53" s="52"/>
    </row>
    <row r="54" spans="1:6" ht="34" customHeight="1" x14ac:dyDescent="0.35">
      <c r="A54" s="63">
        <v>23</v>
      </c>
      <c r="B54" s="24" t="s">
        <v>182</v>
      </c>
      <c r="C54" s="51"/>
      <c r="D54" s="55" t="s">
        <v>153</v>
      </c>
      <c r="E54" s="51"/>
      <c r="F54" s="52"/>
    </row>
    <row r="55" spans="1:6" x14ac:dyDescent="0.35">
      <c r="A55" s="62"/>
      <c r="B55" s="25" t="s">
        <v>145</v>
      </c>
      <c r="C55" s="51"/>
      <c r="D55" s="55"/>
      <c r="E55" s="51"/>
      <c r="F55" s="52"/>
    </row>
    <row r="56" spans="1:6" x14ac:dyDescent="0.35">
      <c r="A56" s="63">
        <v>24</v>
      </c>
      <c r="B56" s="24" t="s">
        <v>183</v>
      </c>
      <c r="C56" s="51"/>
      <c r="D56" s="55" t="s">
        <v>153</v>
      </c>
      <c r="E56" s="51"/>
      <c r="F56" s="52"/>
    </row>
    <row r="57" spans="1:6" ht="28" customHeight="1" x14ac:dyDescent="0.35">
      <c r="A57" s="62"/>
      <c r="B57" s="25" t="s">
        <v>146</v>
      </c>
      <c r="C57" s="51"/>
      <c r="D57" s="55"/>
      <c r="E57" s="51"/>
      <c r="F57" s="52"/>
    </row>
    <row r="58" spans="1:6" ht="28.5" customHeight="1" x14ac:dyDescent="0.35">
      <c r="A58" s="63">
        <v>25</v>
      </c>
      <c r="B58" s="29" t="s">
        <v>184</v>
      </c>
      <c r="C58" s="51"/>
      <c r="D58" s="55" t="s">
        <v>153</v>
      </c>
      <c r="E58" s="51"/>
      <c r="F58" s="52"/>
    </row>
    <row r="59" spans="1:6" x14ac:dyDescent="0.35">
      <c r="A59" s="62"/>
      <c r="B59" s="30" t="s">
        <v>142</v>
      </c>
      <c r="C59" s="51"/>
      <c r="D59" s="55"/>
      <c r="E59" s="51"/>
      <c r="F59" s="52"/>
    </row>
    <row r="60" spans="1:6" x14ac:dyDescent="0.35">
      <c r="A60" s="63">
        <v>26</v>
      </c>
      <c r="B60" s="31" t="s">
        <v>189</v>
      </c>
      <c r="C60" s="51"/>
      <c r="D60" s="55" t="s">
        <v>153</v>
      </c>
      <c r="E60" s="51"/>
      <c r="F60" s="52"/>
    </row>
    <row r="61" spans="1:6" x14ac:dyDescent="0.35">
      <c r="A61" s="62"/>
      <c r="B61" s="25" t="s">
        <v>143</v>
      </c>
      <c r="C61" s="51"/>
      <c r="D61" s="55"/>
      <c r="E61" s="51"/>
      <c r="F61" s="52"/>
    </row>
    <row r="62" spans="1:6" x14ac:dyDescent="0.35">
      <c r="A62" s="63">
        <v>27</v>
      </c>
      <c r="B62" s="24" t="s">
        <v>190</v>
      </c>
      <c r="C62" s="51"/>
      <c r="D62" s="55" t="s">
        <v>153</v>
      </c>
      <c r="E62" s="51"/>
      <c r="F62" s="52"/>
    </row>
    <row r="63" spans="1:6" x14ac:dyDescent="0.35">
      <c r="A63" s="62"/>
      <c r="B63" s="25" t="s">
        <v>155</v>
      </c>
      <c r="C63" s="51"/>
      <c r="D63" s="55"/>
      <c r="E63" s="51"/>
      <c r="F63" s="52"/>
    </row>
    <row r="64" spans="1:6" x14ac:dyDescent="0.35">
      <c r="A64" s="63">
        <v>28</v>
      </c>
      <c r="B64" s="24" t="s">
        <v>191</v>
      </c>
      <c r="C64" s="51"/>
      <c r="D64" s="55" t="s">
        <v>153</v>
      </c>
      <c r="E64" s="51"/>
      <c r="F64" s="52"/>
    </row>
    <row r="65" spans="1:6" x14ac:dyDescent="0.35">
      <c r="A65" s="62"/>
      <c r="B65" s="25" t="s">
        <v>155</v>
      </c>
      <c r="C65" s="51"/>
      <c r="D65" s="55"/>
      <c r="E65" s="51"/>
      <c r="F65" s="52"/>
    </row>
    <row r="66" spans="1:6" x14ac:dyDescent="0.35">
      <c r="A66" s="63">
        <v>29</v>
      </c>
      <c r="B66" s="31" t="s">
        <v>166</v>
      </c>
      <c r="C66" s="51"/>
      <c r="D66" s="55" t="s">
        <v>153</v>
      </c>
      <c r="E66" s="51"/>
      <c r="F66" s="52"/>
    </row>
    <row r="67" spans="1:6" x14ac:dyDescent="0.35">
      <c r="A67" s="62"/>
      <c r="B67" s="25" t="s">
        <v>143</v>
      </c>
      <c r="C67" s="51"/>
      <c r="D67" s="55"/>
      <c r="E67" s="51"/>
      <c r="F67" s="52"/>
    </row>
    <row r="68" spans="1:6" ht="30.5" customHeight="1" x14ac:dyDescent="0.35">
      <c r="A68" s="63">
        <v>30</v>
      </c>
      <c r="B68" s="32" t="s">
        <v>185</v>
      </c>
      <c r="C68" s="27"/>
      <c r="D68" s="55" t="s">
        <v>153</v>
      </c>
      <c r="E68" s="51"/>
      <c r="F68" s="52"/>
    </row>
    <row r="69" spans="1:6" ht="16" x14ac:dyDescent="0.35">
      <c r="A69" s="62"/>
      <c r="B69" s="25" t="s">
        <v>147</v>
      </c>
      <c r="C69" s="27"/>
      <c r="D69" s="55"/>
      <c r="E69" s="51"/>
      <c r="F69" s="52"/>
    </row>
    <row r="70" spans="1:6" x14ac:dyDescent="0.35">
      <c r="A70" s="63">
        <v>31</v>
      </c>
      <c r="B70" s="24" t="s">
        <v>192</v>
      </c>
      <c r="C70" s="51"/>
      <c r="D70" s="55" t="s">
        <v>153</v>
      </c>
      <c r="E70" s="51"/>
      <c r="F70" s="52"/>
    </row>
    <row r="71" spans="1:6" x14ac:dyDescent="0.35">
      <c r="A71" s="62"/>
      <c r="B71" s="25" t="s">
        <v>155</v>
      </c>
      <c r="C71" s="51"/>
      <c r="D71" s="55"/>
      <c r="E71" s="51"/>
      <c r="F71" s="52"/>
    </row>
    <row r="72" spans="1:6" x14ac:dyDescent="0.35">
      <c r="A72" s="63">
        <v>32</v>
      </c>
      <c r="B72" s="24" t="s">
        <v>193</v>
      </c>
      <c r="C72" s="51"/>
      <c r="D72" s="55" t="s">
        <v>153</v>
      </c>
      <c r="E72" s="51"/>
      <c r="F72" s="52"/>
    </row>
    <row r="73" spans="1:6" x14ac:dyDescent="0.35">
      <c r="A73" s="62"/>
      <c r="B73" s="25" t="s">
        <v>155</v>
      </c>
      <c r="C73" s="51"/>
      <c r="D73" s="55"/>
      <c r="E73" s="51"/>
      <c r="F73" s="52"/>
    </row>
    <row r="74" spans="1:6" x14ac:dyDescent="0.35">
      <c r="A74" s="63">
        <v>33</v>
      </c>
      <c r="B74" s="24" t="s">
        <v>156</v>
      </c>
      <c r="C74" s="51"/>
      <c r="D74" s="55" t="s">
        <v>153</v>
      </c>
      <c r="E74" s="51"/>
      <c r="F74" s="52"/>
    </row>
    <row r="75" spans="1:6" x14ac:dyDescent="0.35">
      <c r="A75" s="62"/>
      <c r="B75" s="25" t="s">
        <v>155</v>
      </c>
      <c r="C75" s="51"/>
      <c r="D75" s="55"/>
      <c r="E75" s="51"/>
      <c r="F75" s="52"/>
    </row>
    <row r="76" spans="1:6" ht="14.5" customHeight="1" x14ac:dyDescent="0.35">
      <c r="A76" s="63">
        <v>34</v>
      </c>
      <c r="B76" s="32" t="s">
        <v>168</v>
      </c>
      <c r="C76" s="51"/>
      <c r="D76" s="55" t="s">
        <v>153</v>
      </c>
      <c r="E76" s="51"/>
      <c r="F76" s="52"/>
    </row>
    <row r="77" spans="1:6" ht="14.5" customHeight="1" x14ac:dyDescent="0.35">
      <c r="A77" s="62"/>
      <c r="B77" s="25" t="s">
        <v>143</v>
      </c>
      <c r="C77" s="51"/>
      <c r="D77" s="55"/>
      <c r="E77" s="51"/>
      <c r="F77" s="52"/>
    </row>
    <row r="78" spans="1:6" ht="14.5" customHeight="1" x14ac:dyDescent="0.35">
      <c r="A78" s="67">
        <v>35</v>
      </c>
      <c r="B78" s="32" t="s">
        <v>169</v>
      </c>
      <c r="C78" s="51"/>
      <c r="D78" s="55" t="s">
        <v>153</v>
      </c>
      <c r="E78" s="51"/>
      <c r="F78" s="51"/>
    </row>
    <row r="79" spans="1:6" ht="14.5" customHeight="1" x14ac:dyDescent="0.35">
      <c r="A79" s="67"/>
      <c r="B79" s="25" t="s">
        <v>143</v>
      </c>
      <c r="C79" s="51"/>
      <c r="D79" s="55"/>
      <c r="E79" s="51"/>
      <c r="F79" s="51"/>
    </row>
    <row r="80" spans="1:6" ht="14.5" customHeight="1" x14ac:dyDescent="0.35">
      <c r="A80" s="67">
        <v>36</v>
      </c>
      <c r="B80" s="68" t="s">
        <v>200</v>
      </c>
      <c r="C80" s="51"/>
      <c r="D80" s="55" t="s">
        <v>205</v>
      </c>
      <c r="E80" s="51"/>
      <c r="F80" s="51"/>
    </row>
    <row r="81" spans="1:6" ht="14.5" customHeight="1" x14ac:dyDescent="0.35">
      <c r="A81" s="67"/>
      <c r="B81" s="25" t="s">
        <v>202</v>
      </c>
      <c r="C81" s="51"/>
      <c r="D81" s="55"/>
      <c r="E81" s="51"/>
      <c r="F81" s="51"/>
    </row>
    <row r="82" spans="1:6" ht="14.5" customHeight="1" x14ac:dyDescent="0.35">
      <c r="A82" s="67">
        <v>37</v>
      </c>
      <c r="B82" s="68" t="s">
        <v>201</v>
      </c>
      <c r="C82" s="51"/>
      <c r="D82" s="55" t="s">
        <v>204</v>
      </c>
      <c r="E82" s="51"/>
      <c r="F82" s="51"/>
    </row>
    <row r="83" spans="1:6" ht="14.5" customHeight="1" x14ac:dyDescent="0.35">
      <c r="A83" s="67"/>
      <c r="B83" s="25" t="s">
        <v>203</v>
      </c>
      <c r="C83" s="51"/>
      <c r="D83" s="55"/>
      <c r="E83" s="51"/>
      <c r="F83" s="51"/>
    </row>
    <row r="84" spans="1:6" ht="14.5" customHeight="1" x14ac:dyDescent="0.35">
      <c r="A84" s="67">
        <v>38</v>
      </c>
      <c r="B84" s="25"/>
      <c r="C84" s="51"/>
      <c r="D84" s="55"/>
      <c r="E84" s="51"/>
      <c r="F84" s="51"/>
    </row>
    <row r="85" spans="1:6" ht="14.5" customHeight="1" x14ac:dyDescent="0.35">
      <c r="A85" s="67"/>
      <c r="B85" s="25"/>
      <c r="C85" s="51"/>
      <c r="D85" s="55"/>
      <c r="E85" s="51"/>
      <c r="F85" s="51"/>
    </row>
    <row r="86" spans="1:6" ht="14.5" customHeight="1" x14ac:dyDescent="0.35">
      <c r="A86" s="67">
        <v>39</v>
      </c>
      <c r="B86" s="25"/>
      <c r="C86" s="51"/>
      <c r="D86" s="55"/>
      <c r="E86" s="51"/>
      <c r="F86" s="51"/>
    </row>
    <row r="87" spans="1:6" x14ac:dyDescent="0.35">
      <c r="A87" s="67"/>
      <c r="B87" s="30"/>
      <c r="C87" s="51"/>
      <c r="D87" s="55"/>
      <c r="E87" s="51"/>
      <c r="F87" s="51"/>
    </row>
    <row r="88" spans="1:6" ht="17" x14ac:dyDescent="0.35">
      <c r="A88" s="66"/>
      <c r="B88" s="23"/>
      <c r="C88" s="23"/>
      <c r="D88" s="23"/>
      <c r="E88" s="23"/>
      <c r="F88" s="23"/>
    </row>
    <row r="89" spans="1:6" x14ac:dyDescent="0.35">
      <c r="A89" s="49" t="s">
        <v>197</v>
      </c>
      <c r="B89" s="50" t="s">
        <v>198</v>
      </c>
      <c r="C89" s="23"/>
      <c r="D89" s="23"/>
      <c r="E89" s="23"/>
      <c r="F89" s="23"/>
    </row>
    <row r="90" spans="1:6" x14ac:dyDescent="0.35">
      <c r="B90" s="48" t="s">
        <v>199</v>
      </c>
    </row>
    <row r="94" spans="1:6" ht="21" x14ac:dyDescent="0.55000000000000004">
      <c r="B94" s="34" t="s">
        <v>152</v>
      </c>
      <c r="C94" s="33"/>
      <c r="D94" s="34" t="s">
        <v>188</v>
      </c>
    </row>
    <row r="95" spans="1:6" ht="21" x14ac:dyDescent="0.55000000000000004">
      <c r="B95" s="33"/>
      <c r="C95" s="33"/>
      <c r="D95" s="33"/>
    </row>
    <row r="96" spans="1:6" ht="21" x14ac:dyDescent="0.55000000000000004">
      <c r="B96" s="33"/>
      <c r="C96" s="33"/>
      <c r="D96" s="33"/>
    </row>
    <row r="97" spans="2:4" ht="21" x14ac:dyDescent="0.55000000000000004">
      <c r="B97" s="33"/>
      <c r="C97" s="33"/>
      <c r="D97" s="33"/>
    </row>
    <row r="98" spans="2:4" ht="21" x14ac:dyDescent="0.55000000000000004">
      <c r="B98" s="33"/>
      <c r="C98" s="33"/>
      <c r="D98" s="33"/>
    </row>
    <row r="99" spans="2:4" ht="21" x14ac:dyDescent="0.55000000000000004">
      <c r="B99" s="33"/>
      <c r="C99" s="33"/>
      <c r="D99" s="33"/>
    </row>
    <row r="100" spans="2:4" ht="21" x14ac:dyDescent="0.55000000000000004">
      <c r="B100" s="33"/>
      <c r="C100" s="33"/>
      <c r="D100" s="33"/>
    </row>
    <row r="101" spans="2:4" ht="21" x14ac:dyDescent="0.55000000000000004">
      <c r="B101" s="33"/>
      <c r="C101" s="33"/>
      <c r="D101" s="33"/>
    </row>
    <row r="102" spans="2:4" ht="21" x14ac:dyDescent="0.55000000000000004">
      <c r="B102" s="34" t="s">
        <v>187</v>
      </c>
      <c r="C102" s="33"/>
    </row>
  </sheetData>
  <mergeCells count="195">
    <mergeCell ref="F80:F81"/>
    <mergeCell ref="E82:E83"/>
    <mergeCell ref="F82:F83"/>
    <mergeCell ref="E84:E85"/>
    <mergeCell ref="F84:F85"/>
    <mergeCell ref="E86:E87"/>
    <mergeCell ref="F86:F87"/>
    <mergeCell ref="C80:C81"/>
    <mergeCell ref="C82:C83"/>
    <mergeCell ref="C84:C85"/>
    <mergeCell ref="C86:C87"/>
    <mergeCell ref="A80:A81"/>
    <mergeCell ref="A82:A83"/>
    <mergeCell ref="A84:A85"/>
    <mergeCell ref="A86:A87"/>
    <mergeCell ref="D80:D81"/>
    <mergeCell ref="D82:D83"/>
    <mergeCell ref="D84:D85"/>
    <mergeCell ref="D86:D87"/>
    <mergeCell ref="E80:E8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8:F8"/>
    <mergeCell ref="A10:A11"/>
    <mergeCell ref="A12:A13"/>
    <mergeCell ref="A14:A15"/>
    <mergeCell ref="A16:A17"/>
    <mergeCell ref="A18:A19"/>
    <mergeCell ref="A20:A21"/>
    <mergeCell ref="A22:A23"/>
    <mergeCell ref="A24:A25"/>
    <mergeCell ref="E20:E21"/>
    <mergeCell ref="F20:F21"/>
    <mergeCell ref="D12:D13"/>
    <mergeCell ref="D14:D15"/>
    <mergeCell ref="D16:D17"/>
    <mergeCell ref="D18:D19"/>
    <mergeCell ref="F76:F77"/>
    <mergeCell ref="F78:F79"/>
    <mergeCell ref="F50:F51"/>
    <mergeCell ref="F52:F53"/>
    <mergeCell ref="F54:F55"/>
    <mergeCell ref="F56:F57"/>
    <mergeCell ref="F58:F59"/>
    <mergeCell ref="F60:F61"/>
    <mergeCell ref="F74:F75"/>
    <mergeCell ref="F66:F67"/>
    <mergeCell ref="F68:F69"/>
    <mergeCell ref="F40:F41"/>
    <mergeCell ref="F42:F43"/>
    <mergeCell ref="F44:F45"/>
    <mergeCell ref="F46:F47"/>
    <mergeCell ref="F24:F25"/>
    <mergeCell ref="F26:F27"/>
    <mergeCell ref="F28:F29"/>
    <mergeCell ref="F30:F31"/>
    <mergeCell ref="F32:F33"/>
    <mergeCell ref="F34:F35"/>
    <mergeCell ref="E60:E61"/>
    <mergeCell ref="E66:E67"/>
    <mergeCell ref="E68:E69"/>
    <mergeCell ref="E76:E77"/>
    <mergeCell ref="E78:E79"/>
    <mergeCell ref="F12:F13"/>
    <mergeCell ref="F14:F15"/>
    <mergeCell ref="F16:F17"/>
    <mergeCell ref="F18:F19"/>
    <mergeCell ref="F22:F23"/>
    <mergeCell ref="E46:E47"/>
    <mergeCell ref="E50:E51"/>
    <mergeCell ref="E52:E53"/>
    <mergeCell ref="E54:E55"/>
    <mergeCell ref="E56:E57"/>
    <mergeCell ref="E58:E59"/>
    <mergeCell ref="E34:E35"/>
    <mergeCell ref="E36:E37"/>
    <mergeCell ref="E38:E39"/>
    <mergeCell ref="E40:E41"/>
    <mergeCell ref="E42:E43"/>
    <mergeCell ref="E44:E45"/>
    <mergeCell ref="F36:F37"/>
    <mergeCell ref="F38:F39"/>
    <mergeCell ref="C76:C77"/>
    <mergeCell ref="C78:C79"/>
    <mergeCell ref="E12:E13"/>
    <mergeCell ref="E14:E15"/>
    <mergeCell ref="E16:E17"/>
    <mergeCell ref="E18:E19"/>
    <mergeCell ref="E22:E23"/>
    <mergeCell ref="E24:E25"/>
    <mergeCell ref="E26:E27"/>
    <mergeCell ref="E28:E29"/>
    <mergeCell ref="D76:D77"/>
    <mergeCell ref="D78:D79"/>
    <mergeCell ref="C60:C61"/>
    <mergeCell ref="C30:C31"/>
    <mergeCell ref="C32:C33"/>
    <mergeCell ref="C34:C35"/>
    <mergeCell ref="C36:C37"/>
    <mergeCell ref="C38:C39"/>
    <mergeCell ref="D26:D27"/>
    <mergeCell ref="D44:D45"/>
    <mergeCell ref="C50:C51"/>
    <mergeCell ref="C52:C53"/>
    <mergeCell ref="D68:D69"/>
    <mergeCell ref="D30:D31"/>
    <mergeCell ref="C54:C55"/>
    <mergeCell ref="C56:C57"/>
    <mergeCell ref="D50:D51"/>
    <mergeCell ref="D52:D53"/>
    <mergeCell ref="D54:D55"/>
    <mergeCell ref="D56:D57"/>
    <mergeCell ref="D32:D33"/>
    <mergeCell ref="D34:D35"/>
    <mergeCell ref="D36:D37"/>
    <mergeCell ref="D38:D39"/>
    <mergeCell ref="D40:D41"/>
    <mergeCell ref="D42:D43"/>
    <mergeCell ref="C40:C41"/>
    <mergeCell ref="C42:C43"/>
    <mergeCell ref="C48:C49"/>
    <mergeCell ref="D48:D49"/>
    <mergeCell ref="D58:D59"/>
    <mergeCell ref="C72:C73"/>
    <mergeCell ref="D72:D73"/>
    <mergeCell ref="E72:E73"/>
    <mergeCell ref="F72:F73"/>
    <mergeCell ref="C74:C75"/>
    <mergeCell ref="D74:D75"/>
    <mergeCell ref="C70:C71"/>
    <mergeCell ref="D70:D71"/>
    <mergeCell ref="E70:E71"/>
    <mergeCell ref="F70:F71"/>
    <mergeCell ref="E74:E75"/>
    <mergeCell ref="C62:C63"/>
    <mergeCell ref="D62:D63"/>
    <mergeCell ref="E62:E63"/>
    <mergeCell ref="F62:F63"/>
    <mergeCell ref="C64:C65"/>
    <mergeCell ref="D64:D65"/>
    <mergeCell ref="E64:E65"/>
    <mergeCell ref="F64:F65"/>
    <mergeCell ref="C58:C59"/>
    <mergeCell ref="C66:C67"/>
    <mergeCell ref="D60:D61"/>
    <mergeCell ref="D66:D67"/>
    <mergeCell ref="E48:E49"/>
    <mergeCell ref="F48:F49"/>
    <mergeCell ref="E30:E31"/>
    <mergeCell ref="E32:E33"/>
    <mergeCell ref="C10:C11"/>
    <mergeCell ref="D10:D11"/>
    <mergeCell ref="E10:E11"/>
    <mergeCell ref="F10:F11"/>
    <mergeCell ref="C12:C13"/>
    <mergeCell ref="C14:C15"/>
    <mergeCell ref="C16:C17"/>
    <mergeCell ref="C18:C19"/>
    <mergeCell ref="C28:C29"/>
    <mergeCell ref="C46:C47"/>
    <mergeCell ref="C44:C45"/>
    <mergeCell ref="C22:C23"/>
    <mergeCell ref="C24:C25"/>
    <mergeCell ref="C26:C27"/>
    <mergeCell ref="C20:C21"/>
    <mergeCell ref="D46:D47"/>
    <mergeCell ref="D22:D23"/>
    <mergeCell ref="D24:D25"/>
    <mergeCell ref="D28:D29"/>
    <mergeCell ref="D20:D21"/>
  </mergeCells>
  <pageMargins left="0.7" right="0.7" top="0.75" bottom="0.75" header="0.3" footer="0.3"/>
  <pageSetup paperSize="9" scale="42" fitToWidth="0" orientation="portrait" horizontalDpi="0" verticalDpi="0" r:id="rId1"/>
  <colBreaks count="1" manualBreakCount="1">
    <brk id="7" max="9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Form Inspection Right to Left</vt:lpstr>
      <vt:lpstr>'Form Inspection Right to Left'!Print_Area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MSI-LNVPF5VY49B</dc:creator>
  <dc:description/>
  <cp:lastModifiedBy>MSI-LNV</cp:lastModifiedBy>
  <cp:revision>8</cp:revision>
  <cp:lastPrinted>2026-06-11T12:20:25Z</cp:lastPrinted>
  <dcterms:created xsi:type="dcterms:W3CDTF">2026-03-18T10:52:26Z</dcterms:created>
  <dcterms:modified xsi:type="dcterms:W3CDTF">2026-09-02T01:15:19Z</dcterms:modified>
  <dc:language>en-US</dc:language>
</cp:coreProperties>
</file>